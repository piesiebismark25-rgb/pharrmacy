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activeTab="1"/>
  </bookViews>
  <sheets>
    <sheet name="Chart1" sheetId="2" r:id="rId1"/>
    <sheet name="Sheet1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<sst xmlns="http://schemas.openxmlformats.org/spreadsheetml/2006/main" count="421" uniqueCount="421">
  <si>
    <t>COURSE TITLE: SURGERY AND SURGICAL NURSING III RGN 317)</t>
  </si>
  <si>
    <t>COURSE TUTOR:</t>
  </si>
  <si>
    <t>CONTINUOUS ASSESSMENT</t>
  </si>
  <si>
    <t>END OF SEMESTER EXAMS</t>
  </si>
  <si>
    <t>TOTAL</t>
  </si>
  <si>
    <t>S/N</t>
  </si>
  <si>
    <t>INDEX NUMBER</t>
  </si>
  <si>
    <t>FULL NAME</t>
  </si>
  <si>
    <t>PRESENTATION(10%)</t>
  </si>
  <si>
    <t>QUIZ 2(10)</t>
  </si>
  <si>
    <t>MID-SEM(20)</t>
  </si>
  <si>
    <t>TOTAL(40%)</t>
  </si>
  <si>
    <t>OBJECTIVES(60%)</t>
  </si>
  <si>
    <t>QUESTION 1(20%)</t>
  </si>
  <si>
    <t>QUESTION 2(20%)</t>
  </si>
  <si>
    <t>TOTAL(60%)</t>
  </si>
  <si>
    <t>GRADE</t>
  </si>
  <si>
    <t>COHSARGN220072</t>
  </si>
  <si>
    <t xml:space="preserve">ANKAMAH  GABRIEL </t>
  </si>
  <si>
    <t>COHSARGN220108</t>
  </si>
  <si>
    <t>ACHEAMPONG KONADU CORNELIA</t>
  </si>
  <si>
    <t>COHSARGN220250</t>
  </si>
  <si>
    <t>AMOAKO COMFORT</t>
  </si>
  <si>
    <t>COHSARGN220260</t>
  </si>
  <si>
    <t>OSEI PRISCILLA</t>
  </si>
  <si>
    <t>COHSARGN230001</t>
  </si>
  <si>
    <t>CHRISTOPHER  MIKEHU</t>
  </si>
  <si>
    <t>COHSARGN230002</t>
  </si>
  <si>
    <t>FATI  ALHASSAN</t>
  </si>
  <si>
    <t>COHSARGN230003</t>
  </si>
  <si>
    <t xml:space="preserve">LYDIA  KWARTENG </t>
  </si>
  <si>
    <t>COHSARGN230004</t>
  </si>
  <si>
    <t>GLORIA  AMOAH</t>
  </si>
  <si>
    <t>COHSARGN230005</t>
  </si>
  <si>
    <t>BELINDA  FUACHIE</t>
  </si>
  <si>
    <t>COHSARGN230007</t>
  </si>
  <si>
    <t>PAUL   GYASI</t>
  </si>
  <si>
    <t>COHSARGN230008</t>
  </si>
  <si>
    <t>SARAH  BOTCHWAY</t>
  </si>
  <si>
    <t>COHSARGN230009</t>
  </si>
  <si>
    <t>TAWIAH VIVIAN KORKOR</t>
  </si>
  <si>
    <t>COHSARGN230010</t>
  </si>
  <si>
    <t>ROBERT ABEWIN HARUNA</t>
  </si>
  <si>
    <t>COHSARGN230011</t>
  </si>
  <si>
    <t>SERWAA PRECIOUS BOAHEN</t>
  </si>
  <si>
    <t>COHSARGN230012</t>
  </si>
  <si>
    <t>CHRISTABEL ADDAE FRIMPONG</t>
  </si>
  <si>
    <t>COHSARGN230013</t>
  </si>
  <si>
    <t>MARGARET  ODAME</t>
  </si>
  <si>
    <t>COHSARGN230014</t>
  </si>
  <si>
    <t>FIRDAUS  IDDRISS</t>
  </si>
  <si>
    <t>COHSARGN230015</t>
  </si>
  <si>
    <t>AMPONSAH  DOROTHY</t>
  </si>
  <si>
    <t>COHSARGN230017</t>
  </si>
  <si>
    <t>FRANCISCA  BADU</t>
  </si>
  <si>
    <t>COHSARGN230018</t>
  </si>
  <si>
    <t>VERA  NYAMEKYE</t>
  </si>
  <si>
    <t>COHSARGN230019</t>
  </si>
  <si>
    <t xml:space="preserve">ABIGAIL  KODUAH  TWENEBOAH </t>
  </si>
  <si>
    <t>COHSARGN230020</t>
  </si>
  <si>
    <t>RASHIDATU  ALHASAN</t>
  </si>
  <si>
    <t>COHSARGN230021</t>
  </si>
  <si>
    <t>SAMUELLA BONSU OWUSU</t>
  </si>
  <si>
    <t>COHSARGN230022</t>
  </si>
  <si>
    <t>MILLICENT OPPONG GYEDU</t>
  </si>
  <si>
    <t>COHSARGN230023</t>
  </si>
  <si>
    <t>PRISCILLA  ANIM</t>
  </si>
  <si>
    <t>COHSARGN230024</t>
  </si>
  <si>
    <t>WENDY  ADOMA</t>
  </si>
  <si>
    <t>COHSARGN230025</t>
  </si>
  <si>
    <t>OSEI SANDRA AGYEMANG</t>
  </si>
  <si>
    <t>COHSARGN230026</t>
  </si>
  <si>
    <t>SOMAILA  MOFIDATU</t>
  </si>
  <si>
    <t>COHSARGN230027</t>
  </si>
  <si>
    <t>HAFIZA  ABDULLAH</t>
  </si>
  <si>
    <t>COHSARGN230028</t>
  </si>
  <si>
    <t>NDAGO DANIEL AWINZO</t>
  </si>
  <si>
    <t>COHSARGN230029</t>
  </si>
  <si>
    <t>EMELIA ASE BLAY</t>
  </si>
  <si>
    <t>COHSARGN230030</t>
  </si>
  <si>
    <t>AMINA   ADAMS</t>
  </si>
  <si>
    <t>COHSARGN230031</t>
  </si>
  <si>
    <t>FRANCIS  WIAFE</t>
  </si>
  <si>
    <t>COHSARGN230032</t>
  </si>
  <si>
    <t>NTOYA  AWUDU</t>
  </si>
  <si>
    <t>COHSARGN230033</t>
  </si>
  <si>
    <t>GABRIEL  BAIDOO</t>
  </si>
  <si>
    <t>COHSARGN230034</t>
  </si>
  <si>
    <t>LETICIA RICH LOVE TANO</t>
  </si>
  <si>
    <t>COHSARGN230036</t>
  </si>
  <si>
    <t>AGYEMANG  SELINA</t>
  </si>
  <si>
    <t>COHSARGN230037</t>
  </si>
  <si>
    <t xml:space="preserve">PRISCILLA YEBOAH OWUSU </t>
  </si>
  <si>
    <t>COHSARGN230039</t>
  </si>
  <si>
    <t>MARY  OWUSU</t>
  </si>
  <si>
    <t>COHSARGN230040</t>
  </si>
  <si>
    <t>DERRICK OTENG AGYEKUM</t>
  </si>
  <si>
    <t>COHSARGN230041</t>
  </si>
  <si>
    <t>FRANCIS  OPUNI ASOMANING</t>
  </si>
  <si>
    <t>COHSARGN230042</t>
  </si>
  <si>
    <t>MARIAN ABENA FUACHIEWAA</t>
  </si>
  <si>
    <t>COHSARGN230043</t>
  </si>
  <si>
    <t>ERNESTINA  SOWAH</t>
  </si>
  <si>
    <t>COHSARGN230044</t>
  </si>
  <si>
    <t>ALBERTA  AMANKWAH</t>
  </si>
  <si>
    <t>COHSARGN230045</t>
  </si>
  <si>
    <t>OLIVIA NMAAH ADUKO</t>
  </si>
  <si>
    <t>COHSARGN230047</t>
  </si>
  <si>
    <t>MBAWINI RISULA AWINSOGIM</t>
  </si>
  <si>
    <t>COHSARGN230048</t>
  </si>
  <si>
    <t>ZUOLATU  MAMUDU</t>
  </si>
  <si>
    <t>COHSARGN230049</t>
  </si>
  <si>
    <t>ALFRED  ASARE</t>
  </si>
  <si>
    <t>COHSARGN230050</t>
  </si>
  <si>
    <t>MANU  PRISCILLA</t>
  </si>
  <si>
    <t>COHSARGN230051</t>
  </si>
  <si>
    <t>CONSTANCE DAMPTEY</t>
  </si>
  <si>
    <t>COHSARGN230052</t>
  </si>
  <si>
    <t>ANTWIWAAH   VICTORIA</t>
  </si>
  <si>
    <t>COHSARGN230053</t>
  </si>
  <si>
    <t>BOATENG   DANIEL</t>
  </si>
  <si>
    <t>COHSARGN230054</t>
  </si>
  <si>
    <t>ALBERTA  ANANE</t>
  </si>
  <si>
    <t>COHSARGN230055</t>
  </si>
  <si>
    <t>CHARLOTTE  OWUSUWAAH</t>
  </si>
  <si>
    <t>COHSARGN230056</t>
  </si>
  <si>
    <t>HENRIETTA  KWAKYEWAA</t>
  </si>
  <si>
    <t>COHSARGN230057</t>
  </si>
  <si>
    <t>MAMATA  ABU</t>
  </si>
  <si>
    <t>COHSARGN230058</t>
  </si>
  <si>
    <t>ADWOA  QUANSIMAH</t>
  </si>
  <si>
    <t>COHSARGN230059</t>
  </si>
  <si>
    <t>SULLEY  RAMATO</t>
  </si>
  <si>
    <t>COHSARGN230060</t>
  </si>
  <si>
    <t xml:space="preserve">AMOANIMAA  CECILIA </t>
  </si>
  <si>
    <t>COHSARGN230061</t>
  </si>
  <si>
    <t>CHRISTABEL  NAA FOFOE PIMPONG</t>
  </si>
  <si>
    <t>COHSARGN230062</t>
  </si>
  <si>
    <t>ADELAIDE TAKU OFORIWAA</t>
  </si>
  <si>
    <t>COHSARGN230063</t>
  </si>
  <si>
    <t>VICTORIA   OSEI</t>
  </si>
  <si>
    <t>COHSARGN230064</t>
  </si>
  <si>
    <t>ANGELA  OSEI</t>
  </si>
  <si>
    <t>COHSARGN230065</t>
  </si>
  <si>
    <t>BOTCHWAY  ESTHER</t>
  </si>
  <si>
    <t>COHSARGN230066</t>
  </si>
  <si>
    <t>CHARLOTTE  BOADU</t>
  </si>
  <si>
    <t>COHSARGN230067</t>
  </si>
  <si>
    <t>ALFRED TETTEH ATETEANTENG</t>
  </si>
  <si>
    <t>COHSARGN230068</t>
  </si>
  <si>
    <t>PATIENCE  GBLEKPOR</t>
  </si>
  <si>
    <t>COHSARGN230069</t>
  </si>
  <si>
    <t>HAGAR  GYANI</t>
  </si>
  <si>
    <t>COHSARGN230070</t>
  </si>
  <si>
    <t>JOSEPHINE  BOAKYE</t>
  </si>
  <si>
    <t>COHSARGN230071</t>
  </si>
  <si>
    <t>DORIS  ASITOR</t>
  </si>
  <si>
    <t>COHSARGN230072</t>
  </si>
  <si>
    <t>LISA ADDO SARPONG</t>
  </si>
  <si>
    <t>COHSARGN230073</t>
  </si>
  <si>
    <t>MODESTA   AZURE</t>
  </si>
  <si>
    <t>COHSARGN230074</t>
  </si>
  <si>
    <t>MILLICENT  MANSOH  ADJEI</t>
  </si>
  <si>
    <t>COHSARGN230075</t>
  </si>
  <si>
    <t>ANTOH  LAWRENCIA</t>
  </si>
  <si>
    <t>COHSARGN230076</t>
  </si>
  <si>
    <t>FATI  MUSAH</t>
  </si>
  <si>
    <t>COHSARGN230077</t>
  </si>
  <si>
    <t xml:space="preserve">ERNERST   BOATENG </t>
  </si>
  <si>
    <t>COHSARGN230078</t>
  </si>
  <si>
    <t>THERESAH BOASIAKO ANTWI</t>
  </si>
  <si>
    <t>COHSARGN230079</t>
  </si>
  <si>
    <t>SAMUEL  ASOAH</t>
  </si>
  <si>
    <t>COHSARGN230080</t>
  </si>
  <si>
    <t>PRISCA AUDREY DWOMOH</t>
  </si>
  <si>
    <t>COHSARGN230081</t>
  </si>
  <si>
    <t>ANGELINA  BAWA</t>
  </si>
  <si>
    <t>COHSARGN230082</t>
  </si>
  <si>
    <t>MABEL  AWUAH</t>
  </si>
  <si>
    <t>COHSARGN230084</t>
  </si>
  <si>
    <t>QUEENSTER  FOSU</t>
  </si>
  <si>
    <t>COHSARGN230085</t>
  </si>
  <si>
    <t>RUTH  KYEI</t>
  </si>
  <si>
    <t>COHSARGN230087</t>
  </si>
  <si>
    <t>LETICIA  MENSAH</t>
  </si>
  <si>
    <t>COHSARGN230088</t>
  </si>
  <si>
    <t xml:space="preserve">ANKYLE  JOSEPH </t>
  </si>
  <si>
    <t>COHSARGN230089</t>
  </si>
  <si>
    <t>HANNAH  ENNIN</t>
  </si>
  <si>
    <t>COHSARGN230090</t>
  </si>
  <si>
    <t xml:space="preserve">SAMIRATU AWINSO MOHAMMED </t>
  </si>
  <si>
    <t>COHSARGN230091</t>
  </si>
  <si>
    <t>ABIGAIL FREMA MIREKU</t>
  </si>
  <si>
    <t>COHSARGN230092</t>
  </si>
  <si>
    <t xml:space="preserve">THEOPHILUS  AGYEN AGYENIM BOATENG </t>
  </si>
  <si>
    <t>COHSARGN230093</t>
  </si>
  <si>
    <t>MERCY  MENSAH</t>
  </si>
  <si>
    <t>COHSARGN230094</t>
  </si>
  <si>
    <t>MILLICENT  AMPONG</t>
  </si>
  <si>
    <t>COHSARGN230097</t>
  </si>
  <si>
    <t>SANDRA ANTWIWAA OSEI</t>
  </si>
  <si>
    <t>COHSARGN230098</t>
  </si>
  <si>
    <t>JOHN AGYEKUM KUFFOUR CUDJOE</t>
  </si>
  <si>
    <t>COHSARGN230099</t>
  </si>
  <si>
    <t>LOVE  KAKU-BLAY</t>
  </si>
  <si>
    <t>COHSARGN230100</t>
  </si>
  <si>
    <t>DANIELLA  OPPONG-GYIMAH</t>
  </si>
  <si>
    <t>COHSARGN230101</t>
  </si>
  <si>
    <t>FRANCIS  ADJEI</t>
  </si>
  <si>
    <t>COHSARGN230102</t>
  </si>
  <si>
    <t>MABEL  GYIMAH</t>
  </si>
  <si>
    <t>COHSARGN230103</t>
  </si>
  <si>
    <t>FRANCISCA  BRENYA</t>
  </si>
  <si>
    <t>COHSARGN230104</t>
  </si>
  <si>
    <t>PRISCILLA  ARTHUR</t>
  </si>
  <si>
    <t>COHSARGN230105</t>
  </si>
  <si>
    <t>LETICIA  BADU</t>
  </si>
  <si>
    <t>COHSARGN230107</t>
  </si>
  <si>
    <t>GYAMFI SARKODIE LILIAN</t>
  </si>
  <si>
    <t>COHSARGN230108</t>
  </si>
  <si>
    <t>FELICIA  OWUSU</t>
  </si>
  <si>
    <t>COHSARGN230109</t>
  </si>
  <si>
    <t>HANNAH KYEREWAA OWUSU</t>
  </si>
  <si>
    <t>COHSARGN230110</t>
  </si>
  <si>
    <t>FAUZIA  SHAIBU</t>
  </si>
  <si>
    <t>COHSARGN230111</t>
  </si>
  <si>
    <t xml:space="preserve">JOHNSON  TANO </t>
  </si>
  <si>
    <t>COHSARGN230112</t>
  </si>
  <si>
    <t>ESTHER   OWUSU</t>
  </si>
  <si>
    <t>COHSARGN230113</t>
  </si>
  <si>
    <t>ANNA ANDOH OFORI</t>
  </si>
  <si>
    <t>COHSARGN230114</t>
  </si>
  <si>
    <t>YUSSIF  ABUDULL</t>
  </si>
  <si>
    <t>COHSARGN230116</t>
  </si>
  <si>
    <t>MAVIS  AMOH</t>
  </si>
  <si>
    <t>COHSARGN230117</t>
  </si>
  <si>
    <t>SUSANA  DONKOR</t>
  </si>
  <si>
    <t>COHSARGN230118</t>
  </si>
  <si>
    <t>BEATRICE  DANSO</t>
  </si>
  <si>
    <t>COHSARGN230119</t>
  </si>
  <si>
    <t>SUSUNA  DOWSON</t>
  </si>
  <si>
    <t>COHSARGN230122</t>
  </si>
  <si>
    <t>JOSEPH  SPENCER</t>
  </si>
  <si>
    <t>COHSARGN230123</t>
  </si>
  <si>
    <t>JUDITH  ASSAW</t>
  </si>
  <si>
    <t>COHSARGN230124</t>
  </si>
  <si>
    <t>AUGUSTINE  AMANING</t>
  </si>
  <si>
    <t>COHSARGN230125</t>
  </si>
  <si>
    <t>NAADU  LAWSON</t>
  </si>
  <si>
    <t>COHSARGN230126</t>
  </si>
  <si>
    <t>MINTAH   MAYBEL</t>
  </si>
  <si>
    <t>COHSARGN230127</t>
  </si>
  <si>
    <t>SAMUEL   NYAME</t>
  </si>
  <si>
    <t>COHSARGN230128</t>
  </si>
  <si>
    <t>LORRETTA  DONKOR</t>
  </si>
  <si>
    <t>COHSARGN230129</t>
  </si>
  <si>
    <t>MATILDA  COFFIE</t>
  </si>
  <si>
    <t>COHSARGN230130</t>
  </si>
  <si>
    <t>JULIANA  ARHIN</t>
  </si>
  <si>
    <t>COHSARGN230131</t>
  </si>
  <si>
    <t>BANNOR  GRACE</t>
  </si>
  <si>
    <t>COHSARGN230132</t>
  </si>
  <si>
    <t xml:space="preserve">ISHMAELLINA   KANKAH </t>
  </si>
  <si>
    <t>COHSARGN230133</t>
  </si>
  <si>
    <t>LAWRENCIA  DONKOR</t>
  </si>
  <si>
    <t>COHSARGN230134</t>
  </si>
  <si>
    <t>STEPHANIE  BOATENG</t>
  </si>
  <si>
    <t>COHSARGN230135</t>
  </si>
  <si>
    <t>OPHELIA  FUACHIE</t>
  </si>
  <si>
    <t>COHSARGN230136</t>
  </si>
  <si>
    <t>THEODORA  ANOKYE</t>
  </si>
  <si>
    <t>COHSARGN230137</t>
  </si>
  <si>
    <t>MENSAH SERWAA BERNICE</t>
  </si>
  <si>
    <t>COHSARGN230138</t>
  </si>
  <si>
    <t>ADAMS  OWOSU</t>
  </si>
  <si>
    <t>COHSARGN230139</t>
  </si>
  <si>
    <t>JESSICA   ANNAN</t>
  </si>
  <si>
    <t>COHSARGN230140</t>
  </si>
  <si>
    <t>FLORENCE   SARKODIE</t>
  </si>
  <si>
    <t>COHSARGN230141</t>
  </si>
  <si>
    <t>HARUNA SADIYA  PAYAN</t>
  </si>
  <si>
    <t>COHSARGN230142</t>
  </si>
  <si>
    <t>RACHEAL  NIMOH</t>
  </si>
  <si>
    <t>COHSARGN230143</t>
  </si>
  <si>
    <t>BENJAMIN FOBIH BAMPOE</t>
  </si>
  <si>
    <t>COHSARGN230144</t>
  </si>
  <si>
    <t>ANNE ABENA ADAMS</t>
  </si>
  <si>
    <t>COHSARGN230145</t>
  </si>
  <si>
    <t>JANET   BINNYA</t>
  </si>
  <si>
    <t>COHSARGN230146</t>
  </si>
  <si>
    <t>CONSTANCE ADUTWUMWAA FOKUO</t>
  </si>
  <si>
    <t>COHSARGN230147</t>
  </si>
  <si>
    <t>ASSUMPTHA  ARMAH</t>
  </si>
  <si>
    <t>COHSARGN230148</t>
  </si>
  <si>
    <t>RUTH  BOABENG</t>
  </si>
  <si>
    <t>COHSARGN230150</t>
  </si>
  <si>
    <t>CECILIA  KWOFIE</t>
  </si>
  <si>
    <t>COHSARGN230151</t>
  </si>
  <si>
    <t>DUFIE DOREEN AKUA</t>
  </si>
  <si>
    <t>COHSARGN230152</t>
  </si>
  <si>
    <t>ADAMS  BOAKYE YIADOM</t>
  </si>
  <si>
    <t>COHSARGN230153</t>
  </si>
  <si>
    <t>MIRIAM  PREMPEH</t>
  </si>
  <si>
    <t>COHSARGN230156</t>
  </si>
  <si>
    <t>SARAH  OPOKU</t>
  </si>
  <si>
    <t>COHSARGN230158</t>
  </si>
  <si>
    <t>PATRICK KWAKU KWARTENG</t>
  </si>
  <si>
    <t>COHSARGN230161</t>
  </si>
  <si>
    <t>BONSU AMA SERWAA</t>
  </si>
  <si>
    <t>COHSARGN230162</t>
  </si>
  <si>
    <t>JANET  NTAADU</t>
  </si>
  <si>
    <t>COHSARGN230163</t>
  </si>
  <si>
    <t>LINA  DANKWAH</t>
  </si>
  <si>
    <t>COHSARGN230164</t>
  </si>
  <si>
    <t>MABEL  AFFUL</t>
  </si>
  <si>
    <t>COHSARGN230165</t>
  </si>
  <si>
    <t>JOSEPHINE  APPIAH</t>
  </si>
  <si>
    <t>COHSARGN230166</t>
  </si>
  <si>
    <t xml:space="preserve">ESTHER   OWUSU-ASANTE </t>
  </si>
  <si>
    <t>COHSARGN230167</t>
  </si>
  <si>
    <t>COMFORT   APPIAH</t>
  </si>
  <si>
    <t>COHSARGN230168</t>
  </si>
  <si>
    <t>JAMES  ACHEAMPONG</t>
  </si>
  <si>
    <t>COHSARGN230169</t>
  </si>
  <si>
    <t>ELIZABETH  AVOBILLA</t>
  </si>
  <si>
    <t>COHSARGN230170</t>
  </si>
  <si>
    <t>SALAMATU  ABUBAKAR</t>
  </si>
  <si>
    <t>COHSARGN230171</t>
  </si>
  <si>
    <t>OWUSU  SABINA</t>
  </si>
  <si>
    <t>COHSARGN230172</t>
  </si>
  <si>
    <t>GLADYS  ADJEI</t>
  </si>
  <si>
    <t>COHSARGN230173</t>
  </si>
  <si>
    <t>ABIGAIL  AMOAH</t>
  </si>
  <si>
    <t>COHSARGN230174</t>
  </si>
  <si>
    <t>LINDA  DARKOWAA</t>
  </si>
  <si>
    <t>COHSARGN230175</t>
  </si>
  <si>
    <t xml:space="preserve">MENSAH   FRANCISCA </t>
  </si>
  <si>
    <t>COHSARGN230177</t>
  </si>
  <si>
    <t>PAUL  BIOH</t>
  </si>
  <si>
    <t>COHSARGN230178</t>
  </si>
  <si>
    <t>LYDIA  AMANYANSA</t>
  </si>
  <si>
    <t>COHSARGN230179</t>
  </si>
  <si>
    <t>NKRUMAH  EMMANUEL</t>
  </si>
  <si>
    <t>COHSARGN230180</t>
  </si>
  <si>
    <t>AUGUSTINA  SAKYI</t>
  </si>
  <si>
    <t>COHSARGN230182</t>
  </si>
  <si>
    <t>BELINDA  ADJEI</t>
  </si>
  <si>
    <t>COHSARGN230183</t>
  </si>
  <si>
    <t>EUNICE   AWUKU</t>
  </si>
  <si>
    <t>COHSARGN230184</t>
  </si>
  <si>
    <t>DZIDODO EWEONAM RITA</t>
  </si>
  <si>
    <t>COHSARGN230185</t>
  </si>
  <si>
    <t>FELICITY  AIDOO</t>
  </si>
  <si>
    <t>COHSARGN230186</t>
  </si>
  <si>
    <t xml:space="preserve">BAIDOO  PRISCILLA </t>
  </si>
  <si>
    <t>COHSARGN230188</t>
  </si>
  <si>
    <t>AMANKWAH  ABIGAIL</t>
  </si>
  <si>
    <t>COHSARGN230189</t>
  </si>
  <si>
    <t>PORTIA  ASIEDU</t>
  </si>
  <si>
    <t>COHSARGN230190</t>
  </si>
  <si>
    <t>GRACE KUFFOUR OSEI</t>
  </si>
  <si>
    <t>COHSARGN230191</t>
  </si>
  <si>
    <t>MAVIS  ANSAH  OWUSU</t>
  </si>
  <si>
    <t>COHSARGN230192</t>
  </si>
  <si>
    <t>CECILIA   ADOM</t>
  </si>
  <si>
    <t>COHSARGN230193</t>
  </si>
  <si>
    <t>ELLEN  AGYEIWAA</t>
  </si>
  <si>
    <t>COHSARGN230194</t>
  </si>
  <si>
    <t>RITA  SAKYI</t>
  </si>
  <si>
    <t>COHSARGN230195</t>
  </si>
  <si>
    <t>CATHERINE  DEBRAH</t>
  </si>
  <si>
    <t>COHSARGN230196</t>
  </si>
  <si>
    <t>LETICIA  DONKOR</t>
  </si>
  <si>
    <t>COHSARGN230197</t>
  </si>
  <si>
    <t>WESLEY  FUACHIE</t>
  </si>
  <si>
    <t>COHSARGN230198</t>
  </si>
  <si>
    <t>PATRICIA  AKPABLI</t>
  </si>
  <si>
    <t>COHSARGN230199</t>
  </si>
  <si>
    <t>ANGELINA   BAIDOO</t>
  </si>
  <si>
    <t>COHSARGN230200</t>
  </si>
  <si>
    <t>AUGUSTA  AMPONSAH</t>
  </si>
  <si>
    <t>COHSARGN230201</t>
  </si>
  <si>
    <t>AGYEIWAA  GLORIA</t>
  </si>
  <si>
    <t>COHSARGN230202</t>
  </si>
  <si>
    <t>SULEYMAN  ZELIA</t>
  </si>
  <si>
    <t>COHSARGN23O203</t>
  </si>
  <si>
    <t>PRINCE  BOADU</t>
  </si>
  <si>
    <t>COHSARGN230204</t>
  </si>
  <si>
    <t>THERESAH  AKOMA</t>
  </si>
  <si>
    <t>COHSARGN230205</t>
  </si>
  <si>
    <t>PHILIPPINE  YEBOAH</t>
  </si>
  <si>
    <t>COHSARGN230206</t>
  </si>
  <si>
    <t>ADUSEI ASANTEWAA ABIGAIL</t>
  </si>
  <si>
    <t>COHSARGN230207</t>
  </si>
  <si>
    <t>DANIEL  ANSAH AMOASI</t>
  </si>
  <si>
    <t>COHSARGN230210</t>
  </si>
  <si>
    <t>FREDERICK ASAMOAH GYAN</t>
  </si>
  <si>
    <t>COHSARGN230211</t>
  </si>
  <si>
    <t>ROSINA ESSINAM AFUKEY</t>
  </si>
  <si>
    <t>COHSARGN230212</t>
  </si>
  <si>
    <t>DENIS   BAIDOO</t>
  </si>
  <si>
    <t>COHSARGN230214</t>
  </si>
  <si>
    <t>GRACE AMO SERWAA</t>
  </si>
  <si>
    <t>COHSARGN230215</t>
  </si>
  <si>
    <t>JACQUELINE ASANTE APPIAH</t>
  </si>
  <si>
    <t>COHSARGN230216</t>
  </si>
  <si>
    <t>KENNEDY KWAKU OHENE DUAH</t>
  </si>
  <si>
    <t>COHSARGN230217</t>
  </si>
  <si>
    <t>ELIZABETH  AMABILA</t>
  </si>
  <si>
    <t>COHSARGN230219</t>
  </si>
  <si>
    <t>BLAISE  GANDIIBU</t>
  </si>
  <si>
    <t>COHSARGN230220</t>
  </si>
  <si>
    <t>AMINU  ZAKARI</t>
  </si>
  <si>
    <t>COHSARGN230221</t>
  </si>
  <si>
    <t>OPHELIA  YEBOAH</t>
  </si>
  <si>
    <t>COHSARGN230222</t>
  </si>
  <si>
    <t>EMMANUEL  AKWABOAH</t>
  </si>
  <si>
    <t>COHSARGN230223</t>
  </si>
  <si>
    <t xml:space="preserve">ABORAH   GIDEON </t>
  </si>
  <si>
    <t>NUMBER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</si>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</sst>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Times New Roman"/>
      <charset val="134"/>
    </font>
    <font>
      <b/>
      <sz val="16"/>
      <color theme="1"/>
      <name val="Times New Roman"/>
      <charset val="134"/>
    </font>
    <font>
      <sz val="20"/>
      <color theme="1"/>
      <name val="Times New Roman"/>
      <charset val="134"/>
    </font>
    <font>
      <b/>
      <sz val="20"/>
      <color theme="1"/>
      <name val="Times New Roman"/>
      <charset val="134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6EE1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9" fontId="5" fillId="9" borderId="0" xfId="0" applyNumberFormat="1" applyFont="1" applyFill="1" applyAlignment="1">
      <alignment horizontal="center"/>
    </xf>
    <xf numFmtId="9" fontId="5" fillId="10" borderId="0" xfId="0" applyNumberFormat="1" applyFont="1" applyFill="1"/>
    <xf numFmtId="0" fontId="5" fillId="11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5" fillId="7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4" fillId="4" borderId="0" xfId="0" applyFont="1" applyFill="1"/>
    <xf numFmtId="0" fontId="6" fillId="0" borderId="0" xfId="0" applyFont="1"/>
    <xf numFmtId="0" fontId="0" fillId="12" borderId="1" xfId="0" applyFill="1" applyBorder="1"/>
    <xf numFmtId="178" fontId="0" fillId="12" borderId="1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6EE1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CONTINUOUS ASSESSMENT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Sheet1!$D$6:$D$207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Sheet1!#REF!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Sheet1!#REF!</c:f>
              <c:numCache>
                <c:formatCode>General</c:formatCode>
                <c:ptCount val="220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Sheet1!$E$6:$E$207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</c:v>
                </c:pt>
                <c:pt idx="39">
                  <c:v>9.5</c:v>
                </c:pt>
                <c:pt idx="40">
                  <c:v>10</c:v>
                </c:pt>
                <c:pt idx="41">
                  <c:v>10</c:v>
                </c:pt>
                <c:pt idx="42">
                  <c:v>9.5</c:v>
                </c:pt>
                <c:pt idx="43">
                  <c:v>9.5</c:v>
                </c:pt>
                <c:pt idx="44">
                  <c:v>10</c:v>
                </c:pt>
                <c:pt idx="45">
                  <c:v>10</c:v>
                </c:pt>
                <c:pt idx="46">
                  <c:v>7</c:v>
                </c:pt>
                <c:pt idx="47">
                  <c:v>10</c:v>
                </c:pt>
                <c:pt idx="48">
                  <c:v>7.5</c:v>
                </c:pt>
                <c:pt idx="49">
                  <c:v>9.5</c:v>
                </c:pt>
                <c:pt idx="50">
                  <c:v>5.5</c:v>
                </c:pt>
                <c:pt idx="51">
                  <c:v>10</c:v>
                </c:pt>
                <c:pt idx="52">
                  <c:v>10</c:v>
                </c:pt>
                <c:pt idx="53">
                  <c:v>9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9.5</c:v>
                </c:pt>
                <c:pt idx="58">
                  <c:v>8</c:v>
                </c:pt>
                <c:pt idx="59">
                  <c:v>3</c:v>
                </c:pt>
                <c:pt idx="60">
                  <c:v>10</c:v>
                </c:pt>
                <c:pt idx="61">
                  <c:v>10</c:v>
                </c:pt>
                <c:pt idx="62">
                  <c:v>7</c:v>
                </c:pt>
                <c:pt idx="63">
                  <c:v>0</c:v>
                </c:pt>
                <c:pt idx="64">
                  <c:v>5</c:v>
                </c:pt>
                <c:pt idx="65">
                  <c:v>10</c:v>
                </c:pt>
                <c:pt idx="66">
                  <c:v>9.5</c:v>
                </c:pt>
                <c:pt idx="67">
                  <c:v>6</c:v>
                </c:pt>
                <c:pt idx="68">
                  <c:v>7</c:v>
                </c:pt>
                <c:pt idx="69">
                  <c:v>10</c:v>
                </c:pt>
                <c:pt idx="70">
                  <c:v>8</c:v>
                </c:pt>
                <c:pt idx="71">
                  <c:v>10</c:v>
                </c:pt>
                <c:pt idx="72">
                  <c:v>9</c:v>
                </c:pt>
                <c:pt idx="73">
                  <c:v>9</c:v>
                </c:pt>
                <c:pt idx="74">
                  <c:v>10</c:v>
                </c:pt>
                <c:pt idx="75">
                  <c:v>0</c:v>
                </c:pt>
                <c:pt idx="76">
                  <c:v>10</c:v>
                </c:pt>
                <c:pt idx="77">
                  <c:v>5</c:v>
                </c:pt>
                <c:pt idx="78">
                  <c:v>10</c:v>
                </c:pt>
                <c:pt idx="79">
                  <c:v>6</c:v>
                </c:pt>
                <c:pt idx="80">
                  <c:v>9</c:v>
                </c:pt>
                <c:pt idx="81">
                  <c:v>9</c:v>
                </c:pt>
                <c:pt idx="82">
                  <c:v>0</c:v>
                </c:pt>
                <c:pt idx="83">
                  <c:v>10</c:v>
                </c:pt>
                <c:pt idx="84">
                  <c:v>8</c:v>
                </c:pt>
                <c:pt idx="85">
                  <c:v>9</c:v>
                </c:pt>
                <c:pt idx="86">
                  <c:v>4.5</c:v>
                </c:pt>
                <c:pt idx="87">
                  <c:v>5</c:v>
                </c:pt>
                <c:pt idx="88">
                  <c:v>5</c:v>
                </c:pt>
                <c:pt idx="89">
                  <c:v>10</c:v>
                </c:pt>
                <c:pt idx="90">
                  <c:v>10</c:v>
                </c:pt>
                <c:pt idx="91">
                  <c:v>8.5</c:v>
                </c:pt>
                <c:pt idx="92">
                  <c:v>4</c:v>
                </c:pt>
                <c:pt idx="93">
                  <c:v>7</c:v>
                </c:pt>
                <c:pt idx="94">
                  <c:v>0</c:v>
                </c:pt>
                <c:pt idx="95">
                  <c:v>10</c:v>
                </c:pt>
                <c:pt idx="96">
                  <c:v>10</c:v>
                </c:pt>
                <c:pt idx="97">
                  <c:v>9.5</c:v>
                </c:pt>
                <c:pt idx="98">
                  <c:v>9.5</c:v>
                </c:pt>
                <c:pt idx="99">
                  <c:v>10</c:v>
                </c:pt>
                <c:pt idx="100">
                  <c:v>5</c:v>
                </c:pt>
                <c:pt idx="101">
                  <c:v>10</c:v>
                </c:pt>
                <c:pt idx="102">
                  <c:v>5.5</c:v>
                </c:pt>
                <c:pt idx="103">
                  <c:v>10</c:v>
                </c:pt>
                <c:pt idx="104">
                  <c:v>8.5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0</c:v>
                </c:pt>
                <c:pt idx="109">
                  <c:v>10</c:v>
                </c:pt>
                <c:pt idx="110">
                  <c:v>10</c:v>
                </c:pt>
                <c:pt idx="111">
                  <c:v>5</c:v>
                </c:pt>
                <c:pt idx="112">
                  <c:v>0</c:v>
                </c:pt>
                <c:pt idx="113">
                  <c:v>10</c:v>
                </c:pt>
                <c:pt idx="114">
                  <c:v>5</c:v>
                </c:pt>
                <c:pt idx="115">
                  <c:v>5</c:v>
                </c:pt>
                <c:pt idx="116">
                  <c:v>9.5</c:v>
                </c:pt>
                <c:pt idx="117">
                  <c:v>4.5</c:v>
                </c:pt>
                <c:pt idx="118">
                  <c:v>8</c:v>
                </c:pt>
                <c:pt idx="119">
                  <c:v>0</c:v>
                </c:pt>
                <c:pt idx="120">
                  <c:v>7</c:v>
                </c:pt>
                <c:pt idx="121">
                  <c:v>8</c:v>
                </c:pt>
                <c:pt idx="122">
                  <c:v>5.5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5.5</c:v>
                </c:pt>
                <c:pt idx="127">
                  <c:v>10</c:v>
                </c:pt>
                <c:pt idx="128">
                  <c:v>10</c:v>
                </c:pt>
                <c:pt idx="129">
                  <c:v>0</c:v>
                </c:pt>
                <c:pt idx="130">
                  <c:v>4.5</c:v>
                </c:pt>
                <c:pt idx="131">
                  <c:v>10</c:v>
                </c:pt>
                <c:pt idx="132">
                  <c:v>0</c:v>
                </c:pt>
                <c:pt idx="133">
                  <c:v>10</c:v>
                </c:pt>
                <c:pt idx="134">
                  <c:v>10</c:v>
                </c:pt>
                <c:pt idx="135">
                  <c:v>8.5</c:v>
                </c:pt>
                <c:pt idx="136">
                  <c:v>7</c:v>
                </c:pt>
                <c:pt idx="137">
                  <c:v>10</c:v>
                </c:pt>
                <c:pt idx="138">
                  <c:v>0</c:v>
                </c:pt>
                <c:pt idx="139">
                  <c:v>7</c:v>
                </c:pt>
                <c:pt idx="140">
                  <c:v>6</c:v>
                </c:pt>
                <c:pt idx="141">
                  <c:v>8.5</c:v>
                </c:pt>
                <c:pt idx="142">
                  <c:v>2.5</c:v>
                </c:pt>
                <c:pt idx="143">
                  <c:v>10</c:v>
                </c:pt>
                <c:pt idx="144">
                  <c:v>10</c:v>
                </c:pt>
                <c:pt idx="145">
                  <c:v>3</c:v>
                </c:pt>
                <c:pt idx="146">
                  <c:v>7</c:v>
                </c:pt>
                <c:pt idx="147">
                  <c:v>3</c:v>
                </c:pt>
                <c:pt idx="148">
                  <c:v>8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9</c:v>
                </c:pt>
                <c:pt idx="153">
                  <c:v>6</c:v>
                </c:pt>
                <c:pt idx="154">
                  <c:v>9.5</c:v>
                </c:pt>
                <c:pt idx="155">
                  <c:v>10</c:v>
                </c:pt>
                <c:pt idx="156">
                  <c:v>5</c:v>
                </c:pt>
                <c:pt idx="157">
                  <c:v>10</c:v>
                </c:pt>
                <c:pt idx="158">
                  <c:v>8</c:v>
                </c:pt>
                <c:pt idx="159">
                  <c:v>6</c:v>
                </c:pt>
                <c:pt idx="160">
                  <c:v>0</c:v>
                </c:pt>
                <c:pt idx="161">
                  <c:v>10</c:v>
                </c:pt>
                <c:pt idx="162">
                  <c:v>5</c:v>
                </c:pt>
                <c:pt idx="163">
                  <c:v>4</c:v>
                </c:pt>
                <c:pt idx="164">
                  <c:v>4</c:v>
                </c:pt>
                <c:pt idx="165">
                  <c:v>6</c:v>
                </c:pt>
                <c:pt idx="166">
                  <c:v>9</c:v>
                </c:pt>
                <c:pt idx="167">
                  <c:v>10</c:v>
                </c:pt>
                <c:pt idx="168">
                  <c:v>4</c:v>
                </c:pt>
                <c:pt idx="169">
                  <c:v>10</c:v>
                </c:pt>
                <c:pt idx="170">
                  <c:v>9.5</c:v>
                </c:pt>
                <c:pt idx="171">
                  <c:v>6</c:v>
                </c:pt>
                <c:pt idx="172">
                  <c:v>9</c:v>
                </c:pt>
                <c:pt idx="173">
                  <c:v>9.5</c:v>
                </c:pt>
                <c:pt idx="174">
                  <c:v>4.5</c:v>
                </c:pt>
                <c:pt idx="175">
                  <c:v>10</c:v>
                </c:pt>
                <c:pt idx="176">
                  <c:v>10</c:v>
                </c:pt>
                <c:pt idx="177">
                  <c:v>5.5</c:v>
                </c:pt>
                <c:pt idx="178">
                  <c:v>0</c:v>
                </c:pt>
                <c:pt idx="179">
                  <c:v>10</c:v>
                </c:pt>
                <c:pt idx="180">
                  <c:v>10</c:v>
                </c:pt>
                <c:pt idx="181">
                  <c:v>7</c:v>
                </c:pt>
                <c:pt idx="182">
                  <c:v>2</c:v>
                </c:pt>
                <c:pt idx="183">
                  <c:v>10</c:v>
                </c:pt>
                <c:pt idx="184">
                  <c:v>0</c:v>
                </c:pt>
                <c:pt idx="185">
                  <c:v>5</c:v>
                </c:pt>
                <c:pt idx="186">
                  <c:v>6</c:v>
                </c:pt>
                <c:pt idx="187">
                  <c:v>10</c:v>
                </c:pt>
                <c:pt idx="188">
                  <c:v>6</c:v>
                </c:pt>
                <c:pt idx="189">
                  <c:v>7</c:v>
                </c:pt>
                <c:pt idx="190">
                  <c:v>10</c:v>
                </c:pt>
                <c:pt idx="191">
                  <c:v>9</c:v>
                </c:pt>
                <c:pt idx="192">
                  <c:v>3</c:v>
                </c:pt>
                <c:pt idx="193">
                  <c:v>9.5</c:v>
                </c:pt>
                <c:pt idx="194">
                  <c:v>10</c:v>
                </c:pt>
                <c:pt idx="195">
                  <c:v>9.5</c:v>
                </c:pt>
                <c:pt idx="196">
                  <c:v>7</c:v>
                </c:pt>
                <c:pt idx="197">
                  <c:v>5</c:v>
                </c:pt>
                <c:pt idx="198">
                  <c:v>2.5</c:v>
                </c:pt>
                <c:pt idx="199">
                  <c:v>5.5</c:v>
                </c:pt>
                <c:pt idx="200">
                  <c:v>6.5</c:v>
                </c:pt>
                <c:pt idx="201">
                  <c:v>3.5</c:v>
                </c:pt>
              </c:numCache>
            </c:numRef>
          </c:val>
        </c:ser>
        <c:ser>
          <c:idx val="4"/>
          <c:order val="4"/>
          <c:tx>
            <c:strRef>
              <c:f>Sheet1!$F$5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Sheet1!$F$6:$F$207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</c:v>
                </c:pt>
                <c:pt idx="39">
                  <c:v>20</c:v>
                </c:pt>
                <c:pt idx="40">
                  <c:v>16</c:v>
                </c:pt>
                <c:pt idx="41">
                  <c:v>14</c:v>
                </c:pt>
                <c:pt idx="42">
                  <c:v>16</c:v>
                </c:pt>
                <c:pt idx="43">
                  <c:v>14</c:v>
                </c:pt>
                <c:pt idx="44">
                  <c:v>15</c:v>
                </c:pt>
                <c:pt idx="45">
                  <c:v>14</c:v>
                </c:pt>
                <c:pt idx="46">
                  <c:v>13</c:v>
                </c:pt>
                <c:pt idx="47">
                  <c:v>19</c:v>
                </c:pt>
                <c:pt idx="48">
                  <c:v>18</c:v>
                </c:pt>
                <c:pt idx="49">
                  <c:v>17</c:v>
                </c:pt>
                <c:pt idx="50">
                  <c:v>14</c:v>
                </c:pt>
                <c:pt idx="51">
                  <c:v>14</c:v>
                </c:pt>
                <c:pt idx="52">
                  <c:v>19</c:v>
                </c:pt>
                <c:pt idx="53">
                  <c:v>17</c:v>
                </c:pt>
                <c:pt idx="54">
                  <c:v>14</c:v>
                </c:pt>
                <c:pt idx="55">
                  <c:v>15</c:v>
                </c:pt>
                <c:pt idx="56">
                  <c:v>13</c:v>
                </c:pt>
                <c:pt idx="57">
                  <c:v>19</c:v>
                </c:pt>
                <c:pt idx="58">
                  <c:v>19</c:v>
                </c:pt>
                <c:pt idx="59">
                  <c:v>16</c:v>
                </c:pt>
                <c:pt idx="60">
                  <c:v>17</c:v>
                </c:pt>
                <c:pt idx="61">
                  <c:v>18</c:v>
                </c:pt>
                <c:pt idx="62">
                  <c:v>19</c:v>
                </c:pt>
                <c:pt idx="63">
                  <c:v>20</c:v>
                </c:pt>
                <c:pt idx="64">
                  <c:v>15</c:v>
                </c:pt>
                <c:pt idx="65">
                  <c:v>19</c:v>
                </c:pt>
                <c:pt idx="66">
                  <c:v>17</c:v>
                </c:pt>
                <c:pt idx="67">
                  <c:v>16</c:v>
                </c:pt>
                <c:pt idx="68">
                  <c:v>19</c:v>
                </c:pt>
                <c:pt idx="69">
                  <c:v>18</c:v>
                </c:pt>
                <c:pt idx="70">
                  <c:v>16</c:v>
                </c:pt>
                <c:pt idx="71">
                  <c:v>20</c:v>
                </c:pt>
                <c:pt idx="72">
                  <c:v>18</c:v>
                </c:pt>
                <c:pt idx="73">
                  <c:v>19</c:v>
                </c:pt>
                <c:pt idx="74">
                  <c:v>17</c:v>
                </c:pt>
                <c:pt idx="75">
                  <c:v>18</c:v>
                </c:pt>
                <c:pt idx="76">
                  <c:v>20</c:v>
                </c:pt>
                <c:pt idx="77">
                  <c:v>17</c:v>
                </c:pt>
                <c:pt idx="78">
                  <c:v>16</c:v>
                </c:pt>
                <c:pt idx="79">
                  <c:v>19</c:v>
                </c:pt>
                <c:pt idx="80">
                  <c:v>18</c:v>
                </c:pt>
                <c:pt idx="81">
                  <c:v>20</c:v>
                </c:pt>
                <c:pt idx="82">
                  <c:v>16</c:v>
                </c:pt>
                <c:pt idx="83">
                  <c:v>20</c:v>
                </c:pt>
                <c:pt idx="84">
                  <c:v>19</c:v>
                </c:pt>
                <c:pt idx="85">
                  <c:v>15</c:v>
                </c:pt>
                <c:pt idx="86">
                  <c:v>19</c:v>
                </c:pt>
                <c:pt idx="87">
                  <c:v>19</c:v>
                </c:pt>
                <c:pt idx="88">
                  <c:v>17</c:v>
                </c:pt>
                <c:pt idx="89">
                  <c:v>15</c:v>
                </c:pt>
                <c:pt idx="90">
                  <c:v>19</c:v>
                </c:pt>
                <c:pt idx="91">
                  <c:v>18</c:v>
                </c:pt>
                <c:pt idx="92">
                  <c:v>17</c:v>
                </c:pt>
                <c:pt idx="93">
                  <c:v>18</c:v>
                </c:pt>
                <c:pt idx="94">
                  <c:v>20</c:v>
                </c:pt>
                <c:pt idx="95">
                  <c:v>17</c:v>
                </c:pt>
                <c:pt idx="96">
                  <c:v>18</c:v>
                </c:pt>
                <c:pt idx="97">
                  <c:v>17</c:v>
                </c:pt>
                <c:pt idx="98">
                  <c:v>19</c:v>
                </c:pt>
                <c:pt idx="99">
                  <c:v>20</c:v>
                </c:pt>
                <c:pt idx="100">
                  <c:v>16</c:v>
                </c:pt>
                <c:pt idx="101">
                  <c:v>17</c:v>
                </c:pt>
                <c:pt idx="102">
                  <c:v>19</c:v>
                </c:pt>
                <c:pt idx="103">
                  <c:v>20</c:v>
                </c:pt>
                <c:pt idx="104">
                  <c:v>17</c:v>
                </c:pt>
                <c:pt idx="105">
                  <c:v>15</c:v>
                </c:pt>
                <c:pt idx="106">
                  <c:v>20</c:v>
                </c:pt>
                <c:pt idx="107">
                  <c:v>20</c:v>
                </c:pt>
                <c:pt idx="108">
                  <c:v>13</c:v>
                </c:pt>
                <c:pt idx="109">
                  <c:v>20</c:v>
                </c:pt>
                <c:pt idx="110">
                  <c:v>16</c:v>
                </c:pt>
                <c:pt idx="111">
                  <c:v>16</c:v>
                </c:pt>
                <c:pt idx="112">
                  <c:v>15</c:v>
                </c:pt>
                <c:pt idx="113">
                  <c:v>20</c:v>
                </c:pt>
                <c:pt idx="114">
                  <c:v>19</c:v>
                </c:pt>
                <c:pt idx="115">
                  <c:v>19</c:v>
                </c:pt>
                <c:pt idx="116">
                  <c:v>20</c:v>
                </c:pt>
                <c:pt idx="117">
                  <c:v>15</c:v>
                </c:pt>
                <c:pt idx="118">
                  <c:v>18</c:v>
                </c:pt>
                <c:pt idx="119">
                  <c:v>19</c:v>
                </c:pt>
                <c:pt idx="120">
                  <c:v>19</c:v>
                </c:pt>
                <c:pt idx="121">
                  <c:v>17</c:v>
                </c:pt>
                <c:pt idx="122">
                  <c:v>0</c:v>
                </c:pt>
                <c:pt idx="123">
                  <c:v>17</c:v>
                </c:pt>
                <c:pt idx="124">
                  <c:v>20</c:v>
                </c:pt>
                <c:pt idx="125">
                  <c:v>20</c:v>
                </c:pt>
                <c:pt idx="126">
                  <c:v>18</c:v>
                </c:pt>
                <c:pt idx="127">
                  <c:v>20</c:v>
                </c:pt>
                <c:pt idx="128">
                  <c:v>14</c:v>
                </c:pt>
                <c:pt idx="129">
                  <c:v>15</c:v>
                </c:pt>
                <c:pt idx="130">
                  <c:v>17</c:v>
                </c:pt>
                <c:pt idx="131">
                  <c:v>20</c:v>
                </c:pt>
                <c:pt idx="132">
                  <c:v>15</c:v>
                </c:pt>
                <c:pt idx="133">
                  <c:v>16</c:v>
                </c:pt>
                <c:pt idx="134">
                  <c:v>18</c:v>
                </c:pt>
                <c:pt idx="135">
                  <c:v>19</c:v>
                </c:pt>
                <c:pt idx="136">
                  <c:v>16</c:v>
                </c:pt>
                <c:pt idx="137">
                  <c:v>16</c:v>
                </c:pt>
                <c:pt idx="138">
                  <c:v>19</c:v>
                </c:pt>
                <c:pt idx="139">
                  <c:v>18</c:v>
                </c:pt>
                <c:pt idx="140">
                  <c:v>17</c:v>
                </c:pt>
                <c:pt idx="141">
                  <c:v>20</c:v>
                </c:pt>
                <c:pt idx="142">
                  <c:v>19</c:v>
                </c:pt>
                <c:pt idx="143">
                  <c:v>17</c:v>
                </c:pt>
                <c:pt idx="144">
                  <c:v>19</c:v>
                </c:pt>
                <c:pt idx="145">
                  <c:v>15</c:v>
                </c:pt>
                <c:pt idx="146">
                  <c:v>17</c:v>
                </c:pt>
                <c:pt idx="147">
                  <c:v>18</c:v>
                </c:pt>
                <c:pt idx="148">
                  <c:v>19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19</c:v>
                </c:pt>
                <c:pt idx="153">
                  <c:v>16</c:v>
                </c:pt>
                <c:pt idx="154">
                  <c:v>18</c:v>
                </c:pt>
                <c:pt idx="155">
                  <c:v>18</c:v>
                </c:pt>
                <c:pt idx="156">
                  <c:v>19</c:v>
                </c:pt>
                <c:pt idx="157">
                  <c:v>17</c:v>
                </c:pt>
                <c:pt idx="158">
                  <c:v>16</c:v>
                </c:pt>
                <c:pt idx="159">
                  <c:v>17</c:v>
                </c:pt>
                <c:pt idx="160">
                  <c:v>14</c:v>
                </c:pt>
                <c:pt idx="161">
                  <c:v>18</c:v>
                </c:pt>
                <c:pt idx="162">
                  <c:v>16</c:v>
                </c:pt>
                <c:pt idx="163">
                  <c:v>17</c:v>
                </c:pt>
                <c:pt idx="164">
                  <c:v>17</c:v>
                </c:pt>
                <c:pt idx="165">
                  <c:v>16</c:v>
                </c:pt>
                <c:pt idx="166">
                  <c:v>17</c:v>
                </c:pt>
                <c:pt idx="167">
                  <c:v>16</c:v>
                </c:pt>
                <c:pt idx="168">
                  <c:v>17</c:v>
                </c:pt>
                <c:pt idx="169">
                  <c:v>20</c:v>
                </c:pt>
                <c:pt idx="170">
                  <c:v>17</c:v>
                </c:pt>
                <c:pt idx="171">
                  <c:v>16</c:v>
                </c:pt>
                <c:pt idx="172">
                  <c:v>15</c:v>
                </c:pt>
                <c:pt idx="173">
                  <c:v>15</c:v>
                </c:pt>
                <c:pt idx="174">
                  <c:v>18</c:v>
                </c:pt>
                <c:pt idx="175">
                  <c:v>20</c:v>
                </c:pt>
                <c:pt idx="176">
                  <c:v>17</c:v>
                </c:pt>
                <c:pt idx="177">
                  <c:v>16</c:v>
                </c:pt>
                <c:pt idx="178">
                  <c:v>16</c:v>
                </c:pt>
                <c:pt idx="179">
                  <c:v>18</c:v>
                </c:pt>
                <c:pt idx="180">
                  <c:v>19</c:v>
                </c:pt>
                <c:pt idx="181">
                  <c:v>17</c:v>
                </c:pt>
                <c:pt idx="182">
                  <c:v>15</c:v>
                </c:pt>
                <c:pt idx="183">
                  <c:v>18</c:v>
                </c:pt>
                <c:pt idx="184">
                  <c:v>20</c:v>
                </c:pt>
                <c:pt idx="185">
                  <c:v>15</c:v>
                </c:pt>
                <c:pt idx="186">
                  <c:v>17</c:v>
                </c:pt>
                <c:pt idx="187">
                  <c:v>20</c:v>
                </c:pt>
                <c:pt idx="188">
                  <c:v>18</c:v>
                </c:pt>
                <c:pt idx="189">
                  <c:v>19</c:v>
                </c:pt>
                <c:pt idx="190">
                  <c:v>20</c:v>
                </c:pt>
                <c:pt idx="191">
                  <c:v>20</c:v>
                </c:pt>
                <c:pt idx="192">
                  <c:v>13</c:v>
                </c:pt>
                <c:pt idx="193">
                  <c:v>18</c:v>
                </c:pt>
                <c:pt idx="194">
                  <c:v>20</c:v>
                </c:pt>
                <c:pt idx="195">
                  <c:v>17</c:v>
                </c:pt>
                <c:pt idx="196">
                  <c:v>18</c:v>
                </c:pt>
                <c:pt idx="197">
                  <c:v>13</c:v>
                </c:pt>
                <c:pt idx="198">
                  <c:v>19</c:v>
                </c:pt>
                <c:pt idx="199">
                  <c:v>16</c:v>
                </c:pt>
                <c:pt idx="200">
                  <c:v>16</c:v>
                </c:pt>
                <c:pt idx="201">
                  <c:v>17</c:v>
                </c:pt>
              </c:numCache>
            </c:numRef>
          </c:val>
        </c:ser>
        <c:ser>
          <c:idx val="5"/>
          <c:order val="5"/>
          <c:tx>
            <c:strRef>
              <c:f>Sheet1!$G$5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Sheet1!$G$6:$G$207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26</c:v>
                </c:pt>
                <c:pt idx="39">
                  <c:v>29.5</c:v>
                </c:pt>
                <c:pt idx="40">
                  <c:v>26</c:v>
                </c:pt>
                <c:pt idx="41">
                  <c:v>24</c:v>
                </c:pt>
                <c:pt idx="42">
                  <c:v>25.5</c:v>
                </c:pt>
                <c:pt idx="43">
                  <c:v>23.5</c:v>
                </c:pt>
                <c:pt idx="44">
                  <c:v>25</c:v>
                </c:pt>
                <c:pt idx="45">
                  <c:v>24</c:v>
                </c:pt>
                <c:pt idx="46">
                  <c:v>20</c:v>
                </c:pt>
                <c:pt idx="47">
                  <c:v>29</c:v>
                </c:pt>
                <c:pt idx="48">
                  <c:v>25.5</c:v>
                </c:pt>
                <c:pt idx="49">
                  <c:v>26.5</c:v>
                </c:pt>
                <c:pt idx="50">
                  <c:v>19.5</c:v>
                </c:pt>
                <c:pt idx="51">
                  <c:v>24</c:v>
                </c:pt>
                <c:pt idx="52">
                  <c:v>29</c:v>
                </c:pt>
                <c:pt idx="53">
                  <c:v>26</c:v>
                </c:pt>
                <c:pt idx="54">
                  <c:v>24</c:v>
                </c:pt>
                <c:pt idx="55">
                  <c:v>25</c:v>
                </c:pt>
                <c:pt idx="56">
                  <c:v>23</c:v>
                </c:pt>
                <c:pt idx="57">
                  <c:v>28.5</c:v>
                </c:pt>
                <c:pt idx="58">
                  <c:v>27</c:v>
                </c:pt>
                <c:pt idx="59">
                  <c:v>19</c:v>
                </c:pt>
                <c:pt idx="60">
                  <c:v>27</c:v>
                </c:pt>
                <c:pt idx="61">
                  <c:v>28</c:v>
                </c:pt>
                <c:pt idx="62">
                  <c:v>26</c:v>
                </c:pt>
                <c:pt idx="63">
                  <c:v>20</c:v>
                </c:pt>
                <c:pt idx="64">
                  <c:v>20</c:v>
                </c:pt>
                <c:pt idx="65">
                  <c:v>29</c:v>
                </c:pt>
                <c:pt idx="66">
                  <c:v>26.5</c:v>
                </c:pt>
                <c:pt idx="67">
                  <c:v>22</c:v>
                </c:pt>
                <c:pt idx="68">
                  <c:v>26</c:v>
                </c:pt>
                <c:pt idx="69">
                  <c:v>28</c:v>
                </c:pt>
                <c:pt idx="70">
                  <c:v>24</c:v>
                </c:pt>
                <c:pt idx="71">
                  <c:v>30</c:v>
                </c:pt>
                <c:pt idx="72">
                  <c:v>27</c:v>
                </c:pt>
                <c:pt idx="73">
                  <c:v>28</c:v>
                </c:pt>
                <c:pt idx="74">
                  <c:v>27</c:v>
                </c:pt>
                <c:pt idx="75">
                  <c:v>18</c:v>
                </c:pt>
                <c:pt idx="76">
                  <c:v>30</c:v>
                </c:pt>
                <c:pt idx="77">
                  <c:v>22</c:v>
                </c:pt>
                <c:pt idx="78">
                  <c:v>26</c:v>
                </c:pt>
                <c:pt idx="79">
                  <c:v>25</c:v>
                </c:pt>
                <c:pt idx="80">
                  <c:v>36</c:v>
                </c:pt>
                <c:pt idx="81">
                  <c:v>29</c:v>
                </c:pt>
                <c:pt idx="82">
                  <c:v>16</c:v>
                </c:pt>
                <c:pt idx="83">
                  <c:v>30</c:v>
                </c:pt>
                <c:pt idx="84">
                  <c:v>27</c:v>
                </c:pt>
                <c:pt idx="85">
                  <c:v>24</c:v>
                </c:pt>
                <c:pt idx="86">
                  <c:v>23.5</c:v>
                </c:pt>
                <c:pt idx="87">
                  <c:v>24</c:v>
                </c:pt>
                <c:pt idx="88">
                  <c:v>22</c:v>
                </c:pt>
                <c:pt idx="89">
                  <c:v>25</c:v>
                </c:pt>
                <c:pt idx="90">
                  <c:v>29</c:v>
                </c:pt>
                <c:pt idx="91">
                  <c:v>26.5</c:v>
                </c:pt>
                <c:pt idx="92">
                  <c:v>21</c:v>
                </c:pt>
                <c:pt idx="93">
                  <c:v>25</c:v>
                </c:pt>
                <c:pt idx="94">
                  <c:v>20</c:v>
                </c:pt>
                <c:pt idx="95">
                  <c:v>27</c:v>
                </c:pt>
                <c:pt idx="96">
                  <c:v>28</c:v>
                </c:pt>
                <c:pt idx="97">
                  <c:v>26.5</c:v>
                </c:pt>
                <c:pt idx="98">
                  <c:v>28.5</c:v>
                </c:pt>
                <c:pt idx="99">
                  <c:v>30</c:v>
                </c:pt>
                <c:pt idx="100">
                  <c:v>21</c:v>
                </c:pt>
                <c:pt idx="101">
                  <c:v>27</c:v>
                </c:pt>
                <c:pt idx="102">
                  <c:v>24.5</c:v>
                </c:pt>
                <c:pt idx="103">
                  <c:v>30</c:v>
                </c:pt>
                <c:pt idx="104">
                  <c:v>25.5</c:v>
                </c:pt>
                <c:pt idx="105">
                  <c:v>25</c:v>
                </c:pt>
                <c:pt idx="106">
                  <c:v>30</c:v>
                </c:pt>
                <c:pt idx="107">
                  <c:v>30</c:v>
                </c:pt>
                <c:pt idx="108">
                  <c:v>13</c:v>
                </c:pt>
                <c:pt idx="109">
                  <c:v>30</c:v>
                </c:pt>
                <c:pt idx="110">
                  <c:v>26</c:v>
                </c:pt>
                <c:pt idx="111">
                  <c:v>21</c:v>
                </c:pt>
                <c:pt idx="112">
                  <c:v>15</c:v>
                </c:pt>
                <c:pt idx="113">
                  <c:v>30</c:v>
                </c:pt>
                <c:pt idx="114">
                  <c:v>24</c:v>
                </c:pt>
                <c:pt idx="115">
                  <c:v>24</c:v>
                </c:pt>
                <c:pt idx="116">
                  <c:v>29.5</c:v>
                </c:pt>
                <c:pt idx="117">
                  <c:v>19.5</c:v>
                </c:pt>
                <c:pt idx="118">
                  <c:v>26</c:v>
                </c:pt>
                <c:pt idx="119">
                  <c:v>19</c:v>
                </c:pt>
                <c:pt idx="120">
                  <c:v>26</c:v>
                </c:pt>
                <c:pt idx="121">
                  <c:v>25</c:v>
                </c:pt>
                <c:pt idx="122">
                  <c:v>5.5</c:v>
                </c:pt>
                <c:pt idx="123">
                  <c:v>27</c:v>
                </c:pt>
                <c:pt idx="124">
                  <c:v>30</c:v>
                </c:pt>
                <c:pt idx="125">
                  <c:v>30</c:v>
                </c:pt>
                <c:pt idx="126">
                  <c:v>23.5</c:v>
                </c:pt>
                <c:pt idx="127">
                  <c:v>30</c:v>
                </c:pt>
                <c:pt idx="128">
                  <c:v>24</c:v>
                </c:pt>
                <c:pt idx="129">
                  <c:v>15</c:v>
                </c:pt>
                <c:pt idx="130">
                  <c:v>21.5</c:v>
                </c:pt>
                <c:pt idx="131">
                  <c:v>30</c:v>
                </c:pt>
                <c:pt idx="132">
                  <c:v>15</c:v>
                </c:pt>
                <c:pt idx="133">
                  <c:v>26</c:v>
                </c:pt>
                <c:pt idx="134">
                  <c:v>28</c:v>
                </c:pt>
                <c:pt idx="135">
                  <c:v>27.5</c:v>
                </c:pt>
                <c:pt idx="136">
                  <c:v>23</c:v>
                </c:pt>
                <c:pt idx="137">
                  <c:v>26</c:v>
                </c:pt>
                <c:pt idx="138">
                  <c:v>19</c:v>
                </c:pt>
                <c:pt idx="139">
                  <c:v>25</c:v>
                </c:pt>
                <c:pt idx="140">
                  <c:v>23</c:v>
                </c:pt>
                <c:pt idx="141">
                  <c:v>28.5</c:v>
                </c:pt>
                <c:pt idx="142">
                  <c:v>21.5</c:v>
                </c:pt>
                <c:pt idx="143">
                  <c:v>27</c:v>
                </c:pt>
                <c:pt idx="144">
                  <c:v>29</c:v>
                </c:pt>
                <c:pt idx="145">
                  <c:v>18</c:v>
                </c:pt>
                <c:pt idx="146">
                  <c:v>24</c:v>
                </c:pt>
                <c:pt idx="147">
                  <c:v>21</c:v>
                </c:pt>
                <c:pt idx="148">
                  <c:v>27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28</c:v>
                </c:pt>
                <c:pt idx="153">
                  <c:v>22</c:v>
                </c:pt>
                <c:pt idx="154">
                  <c:v>27.5</c:v>
                </c:pt>
                <c:pt idx="155">
                  <c:v>28</c:v>
                </c:pt>
                <c:pt idx="156">
                  <c:v>24</c:v>
                </c:pt>
                <c:pt idx="157">
                  <c:v>27</c:v>
                </c:pt>
                <c:pt idx="158">
                  <c:v>24</c:v>
                </c:pt>
                <c:pt idx="159">
                  <c:v>23</c:v>
                </c:pt>
                <c:pt idx="160">
                  <c:v>14</c:v>
                </c:pt>
                <c:pt idx="161">
                  <c:v>28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22</c:v>
                </c:pt>
                <c:pt idx="166">
                  <c:v>26</c:v>
                </c:pt>
                <c:pt idx="167">
                  <c:v>26</c:v>
                </c:pt>
                <c:pt idx="168">
                  <c:v>21</c:v>
                </c:pt>
                <c:pt idx="169">
                  <c:v>30</c:v>
                </c:pt>
                <c:pt idx="170">
                  <c:v>26.5</c:v>
                </c:pt>
                <c:pt idx="171">
                  <c:v>22</c:v>
                </c:pt>
                <c:pt idx="172">
                  <c:v>24</c:v>
                </c:pt>
                <c:pt idx="173">
                  <c:v>24.5</c:v>
                </c:pt>
                <c:pt idx="174">
                  <c:v>22.5</c:v>
                </c:pt>
                <c:pt idx="175">
                  <c:v>30</c:v>
                </c:pt>
                <c:pt idx="176">
                  <c:v>27</c:v>
                </c:pt>
                <c:pt idx="177">
                  <c:v>21.5</c:v>
                </c:pt>
                <c:pt idx="178">
                  <c:v>16</c:v>
                </c:pt>
                <c:pt idx="179">
                  <c:v>28</c:v>
                </c:pt>
                <c:pt idx="180">
                  <c:v>29</c:v>
                </c:pt>
                <c:pt idx="181">
                  <c:v>24</c:v>
                </c:pt>
                <c:pt idx="182">
                  <c:v>17</c:v>
                </c:pt>
                <c:pt idx="183">
                  <c:v>28</c:v>
                </c:pt>
                <c:pt idx="184">
                  <c:v>20</c:v>
                </c:pt>
                <c:pt idx="185">
                  <c:v>20</c:v>
                </c:pt>
                <c:pt idx="186">
                  <c:v>23</c:v>
                </c:pt>
                <c:pt idx="187">
                  <c:v>30</c:v>
                </c:pt>
                <c:pt idx="188">
                  <c:v>24</c:v>
                </c:pt>
                <c:pt idx="189">
                  <c:v>26</c:v>
                </c:pt>
                <c:pt idx="190">
                  <c:v>30</c:v>
                </c:pt>
                <c:pt idx="191">
                  <c:v>29</c:v>
                </c:pt>
                <c:pt idx="192">
                  <c:v>16</c:v>
                </c:pt>
                <c:pt idx="193">
                  <c:v>27.5</c:v>
                </c:pt>
                <c:pt idx="194">
                  <c:v>30</c:v>
                </c:pt>
                <c:pt idx="195">
                  <c:v>26.5</c:v>
                </c:pt>
                <c:pt idx="196">
                  <c:v>25</c:v>
                </c:pt>
                <c:pt idx="197">
                  <c:v>18</c:v>
                </c:pt>
                <c:pt idx="198">
                  <c:v>21.5</c:v>
                </c:pt>
                <c:pt idx="199">
                  <c:v>21.5</c:v>
                </c:pt>
                <c:pt idx="200">
                  <c:v>22.5</c:v>
                </c:pt>
                <c:pt idx="201">
                  <c:v>20.5</c:v>
                </c:pt>
              </c:numCache>
            </c:numRef>
          </c:val>
        </c:ser>
        <c:ser>
          <c:idx val="6"/>
          <c:order val="6"/>
          <c:tx>
            <c:strRef>
              <c:f>Sheet1!$H$5</c:f>
              <c:strCache>
                <c:ptCount val="1"/>
                <c:pt idx="0">
                  <c:v>END OF SEMESTER EXAMS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Sheet1!$H$6:$H$207</c:f>
              <c:numCache>
                <c:formatCode>General</c:formatCode>
                <c:ptCount val="202"/>
                <c:pt idx="0">
                  <c:v>0</c:v>
                </c:pt>
                <c:pt idx="1">
                  <c:v>39</c:v>
                </c:pt>
                <c:pt idx="2">
                  <c:v>36</c:v>
                </c:pt>
                <c:pt idx="3">
                  <c:v>50</c:v>
                </c:pt>
                <c:pt idx="4">
                  <c:v>47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46</c:v>
                </c:pt>
                <c:pt idx="9">
                  <c:v>49</c:v>
                </c:pt>
                <c:pt idx="10">
                  <c:v>0</c:v>
                </c:pt>
                <c:pt idx="11">
                  <c:v>46</c:v>
                </c:pt>
                <c:pt idx="12">
                  <c:v>47</c:v>
                </c:pt>
                <c:pt idx="13">
                  <c:v>46</c:v>
                </c:pt>
                <c:pt idx="14">
                  <c:v>49</c:v>
                </c:pt>
                <c:pt idx="15">
                  <c:v>38</c:v>
                </c:pt>
                <c:pt idx="16">
                  <c:v>41</c:v>
                </c:pt>
                <c:pt idx="17">
                  <c:v>36</c:v>
                </c:pt>
                <c:pt idx="18">
                  <c:v>49</c:v>
                </c:pt>
                <c:pt idx="19">
                  <c:v>49</c:v>
                </c:pt>
                <c:pt idx="20">
                  <c:v>45</c:v>
                </c:pt>
                <c:pt idx="21">
                  <c:v>46</c:v>
                </c:pt>
                <c:pt idx="22">
                  <c:v>46</c:v>
                </c:pt>
                <c:pt idx="23">
                  <c:v>47</c:v>
                </c:pt>
                <c:pt idx="24">
                  <c:v>52</c:v>
                </c:pt>
                <c:pt idx="25">
                  <c:v>47</c:v>
                </c:pt>
                <c:pt idx="26">
                  <c:v>50</c:v>
                </c:pt>
                <c:pt idx="27">
                  <c:v>47</c:v>
                </c:pt>
                <c:pt idx="28">
                  <c:v>51</c:v>
                </c:pt>
                <c:pt idx="29">
                  <c:v>51</c:v>
                </c:pt>
                <c:pt idx="30">
                  <c:v>48</c:v>
                </c:pt>
                <c:pt idx="31">
                  <c:v>50</c:v>
                </c:pt>
                <c:pt idx="32">
                  <c:v>47</c:v>
                </c:pt>
                <c:pt idx="33">
                  <c:v>52</c:v>
                </c:pt>
                <c:pt idx="34">
                  <c:v>49</c:v>
                </c:pt>
                <c:pt idx="35">
                  <c:v>44</c:v>
                </c:pt>
                <c:pt idx="36">
                  <c:v>45</c:v>
                </c:pt>
                <c:pt idx="37">
                  <c:v>48</c:v>
                </c:pt>
                <c:pt idx="38">
                  <c:v>45</c:v>
                </c:pt>
                <c:pt idx="39">
                  <c:v>49</c:v>
                </c:pt>
                <c:pt idx="40">
                  <c:v>45</c:v>
                </c:pt>
                <c:pt idx="41">
                  <c:v>41</c:v>
                </c:pt>
                <c:pt idx="42">
                  <c:v>40</c:v>
                </c:pt>
                <c:pt idx="43">
                  <c:v>42</c:v>
                </c:pt>
                <c:pt idx="44">
                  <c:v>46</c:v>
                </c:pt>
                <c:pt idx="45">
                  <c:v>47</c:v>
                </c:pt>
                <c:pt idx="46">
                  <c:v>43</c:v>
                </c:pt>
                <c:pt idx="47">
                  <c:v>46</c:v>
                </c:pt>
                <c:pt idx="48">
                  <c:v>40</c:v>
                </c:pt>
                <c:pt idx="49">
                  <c:v>50</c:v>
                </c:pt>
                <c:pt idx="50">
                  <c:v>43</c:v>
                </c:pt>
                <c:pt idx="51">
                  <c:v>49</c:v>
                </c:pt>
                <c:pt idx="52">
                  <c:v>52</c:v>
                </c:pt>
                <c:pt idx="53">
                  <c:v>49</c:v>
                </c:pt>
                <c:pt idx="54">
                  <c:v>49</c:v>
                </c:pt>
                <c:pt idx="55">
                  <c:v>50</c:v>
                </c:pt>
                <c:pt idx="56">
                  <c:v>49</c:v>
                </c:pt>
                <c:pt idx="57">
                  <c:v>50</c:v>
                </c:pt>
                <c:pt idx="58">
                  <c:v>46</c:v>
                </c:pt>
                <c:pt idx="59">
                  <c:v>41</c:v>
                </c:pt>
                <c:pt idx="60">
                  <c:v>46</c:v>
                </c:pt>
                <c:pt idx="61">
                  <c:v>38</c:v>
                </c:pt>
                <c:pt idx="62">
                  <c:v>46</c:v>
                </c:pt>
                <c:pt idx="63">
                  <c:v>52</c:v>
                </c:pt>
                <c:pt idx="64">
                  <c:v>42</c:v>
                </c:pt>
                <c:pt idx="65">
                  <c:v>42</c:v>
                </c:pt>
                <c:pt idx="66">
                  <c:v>49</c:v>
                </c:pt>
                <c:pt idx="67">
                  <c:v>46</c:v>
                </c:pt>
                <c:pt idx="68">
                  <c:v>47</c:v>
                </c:pt>
                <c:pt idx="69">
                  <c:v>50</c:v>
                </c:pt>
                <c:pt idx="70">
                  <c:v>36</c:v>
                </c:pt>
                <c:pt idx="71">
                  <c:v>48</c:v>
                </c:pt>
                <c:pt idx="72">
                  <c:v>48</c:v>
                </c:pt>
                <c:pt idx="73">
                  <c:v>45</c:v>
                </c:pt>
                <c:pt idx="74">
                  <c:v>51</c:v>
                </c:pt>
                <c:pt idx="75">
                  <c:v>50</c:v>
                </c:pt>
                <c:pt idx="76">
                  <c:v>53</c:v>
                </c:pt>
                <c:pt idx="77">
                  <c:v>47</c:v>
                </c:pt>
                <c:pt idx="78">
                  <c:v>46</c:v>
                </c:pt>
                <c:pt idx="79">
                  <c:v>43</c:v>
                </c:pt>
                <c:pt idx="80">
                  <c:v>50</c:v>
                </c:pt>
                <c:pt idx="81">
                  <c:v>47</c:v>
                </c:pt>
                <c:pt idx="82">
                  <c:v>49</c:v>
                </c:pt>
                <c:pt idx="83">
                  <c:v>51</c:v>
                </c:pt>
                <c:pt idx="84">
                  <c:v>49</c:v>
                </c:pt>
                <c:pt idx="85">
                  <c:v>35</c:v>
                </c:pt>
                <c:pt idx="86">
                  <c:v>52</c:v>
                </c:pt>
                <c:pt idx="87">
                  <c:v>50</c:v>
                </c:pt>
                <c:pt idx="88">
                  <c:v>46</c:v>
                </c:pt>
                <c:pt idx="89">
                  <c:v>51</c:v>
                </c:pt>
                <c:pt idx="90">
                  <c:v>49</c:v>
                </c:pt>
                <c:pt idx="91">
                  <c:v>48</c:v>
                </c:pt>
                <c:pt idx="92">
                  <c:v>45</c:v>
                </c:pt>
                <c:pt idx="93">
                  <c:v>41</c:v>
                </c:pt>
                <c:pt idx="94">
                  <c:v>51</c:v>
                </c:pt>
                <c:pt idx="95">
                  <c:v>38</c:v>
                </c:pt>
                <c:pt idx="96">
                  <c:v>44</c:v>
                </c:pt>
                <c:pt idx="97">
                  <c:v>42</c:v>
                </c:pt>
                <c:pt idx="98">
                  <c:v>42</c:v>
                </c:pt>
                <c:pt idx="99">
                  <c:v>51</c:v>
                </c:pt>
                <c:pt idx="100">
                  <c:v>37</c:v>
                </c:pt>
                <c:pt idx="101">
                  <c:v>52</c:v>
                </c:pt>
                <c:pt idx="102">
                  <c:v>42</c:v>
                </c:pt>
                <c:pt idx="103">
                  <c:v>53</c:v>
                </c:pt>
                <c:pt idx="104">
                  <c:v>46</c:v>
                </c:pt>
                <c:pt idx="105">
                  <c:v>49</c:v>
                </c:pt>
                <c:pt idx="106">
                  <c:v>52</c:v>
                </c:pt>
                <c:pt idx="107">
                  <c:v>52</c:v>
                </c:pt>
                <c:pt idx="108">
                  <c:v>50</c:v>
                </c:pt>
                <c:pt idx="109">
                  <c:v>43</c:v>
                </c:pt>
                <c:pt idx="110">
                  <c:v>46</c:v>
                </c:pt>
                <c:pt idx="111">
                  <c:v>40</c:v>
                </c:pt>
                <c:pt idx="112">
                  <c:v>50</c:v>
                </c:pt>
                <c:pt idx="113">
                  <c:v>51</c:v>
                </c:pt>
                <c:pt idx="114">
                  <c:v>41</c:v>
                </c:pt>
                <c:pt idx="115">
                  <c:v>47</c:v>
                </c:pt>
                <c:pt idx="116">
                  <c:v>44</c:v>
                </c:pt>
                <c:pt idx="117">
                  <c:v>36</c:v>
                </c:pt>
                <c:pt idx="118">
                  <c:v>37</c:v>
                </c:pt>
                <c:pt idx="119">
                  <c:v>45</c:v>
                </c:pt>
                <c:pt idx="120">
                  <c:v>47</c:v>
                </c:pt>
                <c:pt idx="121">
                  <c:v>42</c:v>
                </c:pt>
                <c:pt idx="122">
                  <c:v>47</c:v>
                </c:pt>
                <c:pt idx="123">
                  <c:v>47</c:v>
                </c:pt>
                <c:pt idx="124">
                  <c:v>53</c:v>
                </c:pt>
                <c:pt idx="125">
                  <c:v>51</c:v>
                </c:pt>
                <c:pt idx="126">
                  <c:v>45</c:v>
                </c:pt>
                <c:pt idx="127">
                  <c:v>50</c:v>
                </c:pt>
                <c:pt idx="128">
                  <c:v>48</c:v>
                </c:pt>
                <c:pt idx="129">
                  <c:v>48</c:v>
                </c:pt>
                <c:pt idx="130">
                  <c:v>51</c:v>
                </c:pt>
                <c:pt idx="131">
                  <c:v>47</c:v>
                </c:pt>
                <c:pt idx="132">
                  <c:v>43</c:v>
                </c:pt>
                <c:pt idx="133">
                  <c:v>49</c:v>
                </c:pt>
                <c:pt idx="134">
                  <c:v>47</c:v>
                </c:pt>
                <c:pt idx="135">
                  <c:v>44</c:v>
                </c:pt>
                <c:pt idx="136">
                  <c:v>48</c:v>
                </c:pt>
                <c:pt idx="137">
                  <c:v>48</c:v>
                </c:pt>
                <c:pt idx="138">
                  <c:v>44</c:v>
                </c:pt>
                <c:pt idx="139">
                  <c:v>32</c:v>
                </c:pt>
                <c:pt idx="140">
                  <c:v>45</c:v>
                </c:pt>
                <c:pt idx="141">
                  <c:v>42</c:v>
                </c:pt>
                <c:pt idx="142">
                  <c:v>44</c:v>
                </c:pt>
                <c:pt idx="143">
                  <c:v>45</c:v>
                </c:pt>
                <c:pt idx="144">
                  <c:v>44</c:v>
                </c:pt>
                <c:pt idx="145">
                  <c:v>40</c:v>
                </c:pt>
                <c:pt idx="146">
                  <c:v>34</c:v>
                </c:pt>
                <c:pt idx="147">
                  <c:v>43</c:v>
                </c:pt>
                <c:pt idx="148">
                  <c:v>39</c:v>
                </c:pt>
                <c:pt idx="149">
                  <c:v>47</c:v>
                </c:pt>
                <c:pt idx="150">
                  <c:v>52</c:v>
                </c:pt>
                <c:pt idx="151">
                  <c:v>50</c:v>
                </c:pt>
                <c:pt idx="152">
                  <c:v>59</c:v>
                </c:pt>
                <c:pt idx="153">
                  <c:v>46</c:v>
                </c:pt>
                <c:pt idx="154">
                  <c:v>48</c:v>
                </c:pt>
                <c:pt idx="155">
                  <c:v>45</c:v>
                </c:pt>
                <c:pt idx="156">
                  <c:v>44</c:v>
                </c:pt>
                <c:pt idx="157">
                  <c:v>52</c:v>
                </c:pt>
                <c:pt idx="158">
                  <c:v>46</c:v>
                </c:pt>
                <c:pt idx="159">
                  <c:v>40</c:v>
                </c:pt>
                <c:pt idx="160">
                  <c:v>48</c:v>
                </c:pt>
                <c:pt idx="161">
                  <c:v>51</c:v>
                </c:pt>
                <c:pt idx="162">
                  <c:v>44</c:v>
                </c:pt>
                <c:pt idx="163">
                  <c:v>50</c:v>
                </c:pt>
                <c:pt idx="164">
                  <c:v>41</c:v>
                </c:pt>
                <c:pt idx="165">
                  <c:v>48</c:v>
                </c:pt>
                <c:pt idx="166">
                  <c:v>45</c:v>
                </c:pt>
                <c:pt idx="167">
                  <c:v>49</c:v>
                </c:pt>
                <c:pt idx="168">
                  <c:v>47</c:v>
                </c:pt>
                <c:pt idx="169">
                  <c:v>48</c:v>
                </c:pt>
                <c:pt idx="170">
                  <c:v>50</c:v>
                </c:pt>
                <c:pt idx="171">
                  <c:v>38</c:v>
                </c:pt>
                <c:pt idx="172">
                  <c:v>43</c:v>
                </c:pt>
                <c:pt idx="173">
                  <c:v>47</c:v>
                </c:pt>
                <c:pt idx="174">
                  <c:v>32</c:v>
                </c:pt>
                <c:pt idx="175">
                  <c:v>51</c:v>
                </c:pt>
                <c:pt idx="176">
                  <c:v>48</c:v>
                </c:pt>
                <c:pt idx="177">
                  <c:v>43</c:v>
                </c:pt>
                <c:pt idx="178">
                  <c:v>48</c:v>
                </c:pt>
                <c:pt idx="179">
                  <c:v>46</c:v>
                </c:pt>
                <c:pt idx="180">
                  <c:v>48</c:v>
                </c:pt>
                <c:pt idx="181">
                  <c:v>47</c:v>
                </c:pt>
                <c:pt idx="182">
                  <c:v>38</c:v>
                </c:pt>
                <c:pt idx="183">
                  <c:v>46</c:v>
                </c:pt>
                <c:pt idx="184">
                  <c:v>39</c:v>
                </c:pt>
                <c:pt idx="185">
                  <c:v>48</c:v>
                </c:pt>
                <c:pt idx="186">
                  <c:v>46</c:v>
                </c:pt>
                <c:pt idx="187">
                  <c:v>50</c:v>
                </c:pt>
                <c:pt idx="188">
                  <c:v>48</c:v>
                </c:pt>
                <c:pt idx="189">
                  <c:v>55</c:v>
                </c:pt>
                <c:pt idx="190">
                  <c:v>47</c:v>
                </c:pt>
                <c:pt idx="191">
                  <c:v>42</c:v>
                </c:pt>
                <c:pt idx="192">
                  <c:v>46</c:v>
                </c:pt>
                <c:pt idx="193">
                  <c:v>42</c:v>
                </c:pt>
                <c:pt idx="194">
                  <c:v>52</c:v>
                </c:pt>
                <c:pt idx="195">
                  <c:v>49</c:v>
                </c:pt>
                <c:pt idx="196">
                  <c:v>44</c:v>
                </c:pt>
                <c:pt idx="197">
                  <c:v>50</c:v>
                </c:pt>
                <c:pt idx="198">
                  <c:v>50</c:v>
                </c:pt>
                <c:pt idx="199">
                  <c:v>47</c:v>
                </c:pt>
                <c:pt idx="200">
                  <c:v>40</c:v>
                </c:pt>
                <c:pt idx="201">
                  <c:v>46</c:v>
                </c:pt>
              </c:numCache>
            </c:numRef>
          </c:val>
        </c:ser>
        <c:ser>
          <c:idx val="7"/>
          <c:order val="7"/>
          <c:tx>
            <c:strRef>
              <c:f>Sheet1!$I$5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Sheet1!$I$6:$I$207</c:f>
              <c:numCache>
                <c:formatCode>General</c:formatCode>
                <c:ptCount val="202"/>
                <c:pt idx="0">
                  <c:v>0</c:v>
                </c:pt>
                <c:pt idx="1">
                  <c:v>18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12</c:v>
                </c:pt>
                <c:pt idx="9">
                  <c:v>20</c:v>
                </c:pt>
                <c:pt idx="10">
                  <c:v>0</c:v>
                </c:pt>
                <c:pt idx="11">
                  <c:v>19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12.5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18</c:v>
                </c:pt>
                <c:pt idx="20">
                  <c:v>17</c:v>
                </c:pt>
                <c:pt idx="21">
                  <c:v>19</c:v>
                </c:pt>
                <c:pt idx="22">
                  <c:v>17</c:v>
                </c:pt>
                <c:pt idx="23">
                  <c:v>15</c:v>
                </c:pt>
                <c:pt idx="24">
                  <c:v>19</c:v>
                </c:pt>
                <c:pt idx="25">
                  <c:v>20</c:v>
                </c:pt>
                <c:pt idx="26">
                  <c:v>20</c:v>
                </c:pt>
                <c:pt idx="27">
                  <c:v>17</c:v>
                </c:pt>
                <c:pt idx="28">
                  <c:v>18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20</c:v>
                </c:pt>
                <c:pt idx="33">
                  <c:v>19</c:v>
                </c:pt>
                <c:pt idx="34">
                  <c:v>20</c:v>
                </c:pt>
                <c:pt idx="35">
                  <c:v>12</c:v>
                </c:pt>
                <c:pt idx="36">
                  <c:v>18</c:v>
                </c:pt>
                <c:pt idx="37">
                  <c:v>17</c:v>
                </c:pt>
                <c:pt idx="38">
                  <c:v>19</c:v>
                </c:pt>
                <c:pt idx="39">
                  <c:v>20</c:v>
                </c:pt>
                <c:pt idx="40">
                  <c:v>16</c:v>
                </c:pt>
                <c:pt idx="41">
                  <c:v>19</c:v>
                </c:pt>
                <c:pt idx="42">
                  <c:v>16</c:v>
                </c:pt>
                <c:pt idx="43">
                  <c:v>17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17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17</c:v>
                </c:pt>
                <c:pt idx="60">
                  <c:v>20</c:v>
                </c:pt>
                <c:pt idx="61">
                  <c:v>18</c:v>
                </c:pt>
                <c:pt idx="62">
                  <c:v>18</c:v>
                </c:pt>
                <c:pt idx="63">
                  <c:v>20</c:v>
                </c:pt>
                <c:pt idx="64">
                  <c:v>17</c:v>
                </c:pt>
                <c:pt idx="65">
                  <c:v>13</c:v>
                </c:pt>
                <c:pt idx="66">
                  <c:v>20</c:v>
                </c:pt>
                <c:pt idx="67">
                  <c:v>12</c:v>
                </c:pt>
                <c:pt idx="68">
                  <c:v>18</c:v>
                </c:pt>
                <c:pt idx="69">
                  <c:v>19</c:v>
                </c:pt>
                <c:pt idx="70">
                  <c:v>17</c:v>
                </c:pt>
                <c:pt idx="71">
                  <c:v>18</c:v>
                </c:pt>
                <c:pt idx="72">
                  <c:v>18</c:v>
                </c:pt>
                <c:pt idx="73">
                  <c:v>11</c:v>
                </c:pt>
                <c:pt idx="74">
                  <c:v>19</c:v>
                </c:pt>
                <c:pt idx="75">
                  <c:v>18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18</c:v>
                </c:pt>
                <c:pt idx="81">
                  <c:v>17</c:v>
                </c:pt>
                <c:pt idx="82">
                  <c:v>20</c:v>
                </c:pt>
                <c:pt idx="83">
                  <c:v>19</c:v>
                </c:pt>
                <c:pt idx="84">
                  <c:v>19</c:v>
                </c:pt>
                <c:pt idx="85">
                  <c:v>17</c:v>
                </c:pt>
                <c:pt idx="86">
                  <c:v>20</c:v>
                </c:pt>
                <c:pt idx="87">
                  <c:v>17</c:v>
                </c:pt>
                <c:pt idx="88">
                  <c:v>17</c:v>
                </c:pt>
                <c:pt idx="89">
                  <c:v>20</c:v>
                </c:pt>
                <c:pt idx="90">
                  <c:v>18</c:v>
                </c:pt>
                <c:pt idx="91">
                  <c:v>20</c:v>
                </c:pt>
                <c:pt idx="92">
                  <c:v>18</c:v>
                </c:pt>
                <c:pt idx="93">
                  <c:v>15</c:v>
                </c:pt>
                <c:pt idx="94">
                  <c:v>20</c:v>
                </c:pt>
                <c:pt idx="95">
                  <c:v>18</c:v>
                </c:pt>
                <c:pt idx="96">
                  <c:v>20</c:v>
                </c:pt>
                <c:pt idx="97">
                  <c:v>19</c:v>
                </c:pt>
                <c:pt idx="98">
                  <c:v>19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17</c:v>
                </c:pt>
                <c:pt idx="103">
                  <c:v>20</c:v>
                </c:pt>
                <c:pt idx="104">
                  <c:v>19</c:v>
                </c:pt>
                <c:pt idx="105">
                  <c:v>19</c:v>
                </c:pt>
                <c:pt idx="106">
                  <c:v>18</c:v>
                </c:pt>
                <c:pt idx="107">
                  <c:v>20</c:v>
                </c:pt>
                <c:pt idx="108">
                  <c:v>19</c:v>
                </c:pt>
                <c:pt idx="109">
                  <c:v>20</c:v>
                </c:pt>
                <c:pt idx="110">
                  <c:v>20</c:v>
                </c:pt>
                <c:pt idx="111">
                  <c:v>7</c:v>
                </c:pt>
                <c:pt idx="112">
                  <c:v>17</c:v>
                </c:pt>
                <c:pt idx="113">
                  <c:v>18</c:v>
                </c:pt>
                <c:pt idx="114">
                  <c:v>10</c:v>
                </c:pt>
                <c:pt idx="115">
                  <c:v>14</c:v>
                </c:pt>
                <c:pt idx="116">
                  <c:v>17</c:v>
                </c:pt>
                <c:pt idx="117">
                  <c:v>16</c:v>
                </c:pt>
                <c:pt idx="118">
                  <c:v>18</c:v>
                </c:pt>
                <c:pt idx="119">
                  <c:v>19</c:v>
                </c:pt>
                <c:pt idx="120">
                  <c:v>18</c:v>
                </c:pt>
                <c:pt idx="121">
                  <c:v>15</c:v>
                </c:pt>
                <c:pt idx="122">
                  <c:v>14</c:v>
                </c:pt>
                <c:pt idx="123">
                  <c:v>20</c:v>
                </c:pt>
                <c:pt idx="124">
                  <c:v>20</c:v>
                </c:pt>
                <c:pt idx="125">
                  <c:v>19</c:v>
                </c:pt>
                <c:pt idx="126">
                  <c:v>15</c:v>
                </c:pt>
                <c:pt idx="127">
                  <c:v>18</c:v>
                </c:pt>
                <c:pt idx="128">
                  <c:v>17</c:v>
                </c:pt>
                <c:pt idx="129">
                  <c:v>19</c:v>
                </c:pt>
                <c:pt idx="130">
                  <c:v>19</c:v>
                </c:pt>
                <c:pt idx="131">
                  <c:v>18</c:v>
                </c:pt>
                <c:pt idx="132">
                  <c:v>16</c:v>
                </c:pt>
                <c:pt idx="133">
                  <c:v>19</c:v>
                </c:pt>
                <c:pt idx="134">
                  <c:v>20</c:v>
                </c:pt>
                <c:pt idx="135">
                  <c:v>16</c:v>
                </c:pt>
                <c:pt idx="136">
                  <c:v>20</c:v>
                </c:pt>
                <c:pt idx="137">
                  <c:v>19</c:v>
                </c:pt>
                <c:pt idx="138">
                  <c:v>16</c:v>
                </c:pt>
                <c:pt idx="139">
                  <c:v>11</c:v>
                </c:pt>
                <c:pt idx="140">
                  <c:v>14</c:v>
                </c:pt>
                <c:pt idx="141">
                  <c:v>18</c:v>
                </c:pt>
                <c:pt idx="142">
                  <c:v>20</c:v>
                </c:pt>
                <c:pt idx="143">
                  <c:v>17</c:v>
                </c:pt>
                <c:pt idx="144">
                  <c:v>16</c:v>
                </c:pt>
                <c:pt idx="145">
                  <c:v>20</c:v>
                </c:pt>
                <c:pt idx="146">
                  <c:v>18</c:v>
                </c:pt>
                <c:pt idx="147">
                  <c:v>14</c:v>
                </c:pt>
                <c:pt idx="148">
                  <c:v>19</c:v>
                </c:pt>
                <c:pt idx="149">
                  <c:v>17</c:v>
                </c:pt>
                <c:pt idx="150">
                  <c:v>19</c:v>
                </c:pt>
                <c:pt idx="151">
                  <c:v>18</c:v>
                </c:pt>
                <c:pt idx="152">
                  <c:v>19</c:v>
                </c:pt>
                <c:pt idx="153">
                  <c:v>16</c:v>
                </c:pt>
                <c:pt idx="154">
                  <c:v>17</c:v>
                </c:pt>
                <c:pt idx="155">
                  <c:v>19</c:v>
                </c:pt>
                <c:pt idx="156">
                  <c:v>11</c:v>
                </c:pt>
                <c:pt idx="157">
                  <c:v>20</c:v>
                </c:pt>
                <c:pt idx="158">
                  <c:v>20</c:v>
                </c:pt>
                <c:pt idx="159">
                  <c:v>14</c:v>
                </c:pt>
                <c:pt idx="160">
                  <c:v>9</c:v>
                </c:pt>
                <c:pt idx="161">
                  <c:v>20</c:v>
                </c:pt>
                <c:pt idx="162">
                  <c:v>17</c:v>
                </c:pt>
                <c:pt idx="163">
                  <c:v>17</c:v>
                </c:pt>
                <c:pt idx="164">
                  <c:v>14</c:v>
                </c:pt>
                <c:pt idx="165">
                  <c:v>16</c:v>
                </c:pt>
                <c:pt idx="166">
                  <c:v>17</c:v>
                </c:pt>
                <c:pt idx="167">
                  <c:v>18</c:v>
                </c:pt>
                <c:pt idx="168">
                  <c:v>17</c:v>
                </c:pt>
                <c:pt idx="169">
                  <c:v>18</c:v>
                </c:pt>
                <c:pt idx="170">
                  <c:v>20</c:v>
                </c:pt>
                <c:pt idx="171">
                  <c:v>12</c:v>
                </c:pt>
                <c:pt idx="172">
                  <c:v>20</c:v>
                </c:pt>
                <c:pt idx="173">
                  <c:v>17</c:v>
                </c:pt>
                <c:pt idx="174">
                  <c:v>15</c:v>
                </c:pt>
                <c:pt idx="175">
                  <c:v>19</c:v>
                </c:pt>
                <c:pt idx="176">
                  <c:v>20</c:v>
                </c:pt>
                <c:pt idx="177">
                  <c:v>14</c:v>
                </c:pt>
                <c:pt idx="178">
                  <c:v>15</c:v>
                </c:pt>
                <c:pt idx="179">
                  <c:v>20</c:v>
                </c:pt>
                <c:pt idx="180">
                  <c:v>15</c:v>
                </c:pt>
                <c:pt idx="181">
                  <c:v>17</c:v>
                </c:pt>
                <c:pt idx="182">
                  <c:v>6</c:v>
                </c:pt>
                <c:pt idx="183">
                  <c:v>19</c:v>
                </c:pt>
                <c:pt idx="184">
                  <c:v>9</c:v>
                </c:pt>
                <c:pt idx="185">
                  <c:v>20</c:v>
                </c:pt>
                <c:pt idx="186">
                  <c:v>18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10</c:v>
                </c:pt>
                <c:pt idx="192">
                  <c:v>14</c:v>
                </c:pt>
                <c:pt idx="193">
                  <c:v>20</c:v>
                </c:pt>
                <c:pt idx="194">
                  <c:v>20</c:v>
                </c:pt>
                <c:pt idx="195">
                  <c:v>19</c:v>
                </c:pt>
                <c:pt idx="196">
                  <c:v>18</c:v>
                </c:pt>
                <c:pt idx="197">
                  <c:v>15</c:v>
                </c:pt>
                <c:pt idx="198">
                  <c:v>9</c:v>
                </c:pt>
                <c:pt idx="199">
                  <c:v>15</c:v>
                </c:pt>
                <c:pt idx="200">
                  <c:v>13</c:v>
                </c:pt>
                <c:pt idx="201">
                  <c:v>18</c:v>
                </c:pt>
              </c:numCache>
            </c:numRef>
          </c:val>
        </c:ser>
        <c:ser>
          <c:idx val="8"/>
          <c:order val="8"/>
          <c:tx>
            <c:strRef>
              <c:f>Sheet1!$J$5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Sheet1!$J$6:$J$207</c:f>
              <c:numCache>
                <c:formatCode>General</c:formatCode>
                <c:ptCount val="202"/>
                <c:pt idx="0">
                  <c:v>0</c:v>
                </c:pt>
                <c:pt idx="1">
                  <c:v>12</c:v>
                </c:pt>
                <c:pt idx="2">
                  <c:v>11</c:v>
                </c:pt>
                <c:pt idx="3">
                  <c:v>17</c:v>
                </c:pt>
                <c:pt idx="4">
                  <c:v>20</c:v>
                </c:pt>
                <c:pt idx="5">
                  <c:v>19.5</c:v>
                </c:pt>
                <c:pt idx="6">
                  <c:v>20</c:v>
                </c:pt>
                <c:pt idx="7">
                  <c:v>14</c:v>
                </c:pt>
                <c:pt idx="8">
                  <c:v>13</c:v>
                </c:pt>
                <c:pt idx="9">
                  <c:v>20</c:v>
                </c:pt>
                <c:pt idx="10">
                  <c:v>0</c:v>
                </c:pt>
                <c:pt idx="11">
                  <c:v>11</c:v>
                </c:pt>
                <c:pt idx="12">
                  <c:v>20</c:v>
                </c:pt>
                <c:pt idx="13">
                  <c:v>17</c:v>
                </c:pt>
                <c:pt idx="14">
                  <c:v>20</c:v>
                </c:pt>
                <c:pt idx="15">
                  <c:v>17</c:v>
                </c:pt>
                <c:pt idx="16">
                  <c:v>12</c:v>
                </c:pt>
                <c:pt idx="17">
                  <c:v>16</c:v>
                </c:pt>
                <c:pt idx="18">
                  <c:v>18</c:v>
                </c:pt>
                <c:pt idx="19">
                  <c:v>17</c:v>
                </c:pt>
                <c:pt idx="20">
                  <c:v>14</c:v>
                </c:pt>
                <c:pt idx="21">
                  <c:v>17</c:v>
                </c:pt>
                <c:pt idx="22">
                  <c:v>15</c:v>
                </c:pt>
                <c:pt idx="23">
                  <c:v>14</c:v>
                </c:pt>
                <c:pt idx="24">
                  <c:v>15</c:v>
                </c:pt>
                <c:pt idx="25">
                  <c:v>14</c:v>
                </c:pt>
                <c:pt idx="26">
                  <c:v>18</c:v>
                </c:pt>
                <c:pt idx="27">
                  <c:v>20</c:v>
                </c:pt>
                <c:pt idx="28">
                  <c:v>20</c:v>
                </c:pt>
                <c:pt idx="29">
                  <c:v>15</c:v>
                </c:pt>
                <c:pt idx="30">
                  <c:v>14</c:v>
                </c:pt>
                <c:pt idx="31">
                  <c:v>19</c:v>
                </c:pt>
                <c:pt idx="32">
                  <c:v>20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16</c:v>
                </c:pt>
                <c:pt idx="37">
                  <c:v>17</c:v>
                </c:pt>
                <c:pt idx="38">
                  <c:v>19</c:v>
                </c:pt>
                <c:pt idx="39">
                  <c:v>20</c:v>
                </c:pt>
                <c:pt idx="40">
                  <c:v>16</c:v>
                </c:pt>
                <c:pt idx="41">
                  <c:v>20</c:v>
                </c:pt>
                <c:pt idx="42">
                  <c:v>17</c:v>
                </c:pt>
                <c:pt idx="43">
                  <c:v>14</c:v>
                </c:pt>
                <c:pt idx="44">
                  <c:v>15</c:v>
                </c:pt>
                <c:pt idx="45">
                  <c:v>20</c:v>
                </c:pt>
                <c:pt idx="46">
                  <c:v>17</c:v>
                </c:pt>
                <c:pt idx="47">
                  <c:v>19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20</c:v>
                </c:pt>
                <c:pt idx="52">
                  <c:v>20</c:v>
                </c:pt>
                <c:pt idx="53">
                  <c:v>19</c:v>
                </c:pt>
                <c:pt idx="54">
                  <c:v>18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15</c:v>
                </c:pt>
                <c:pt idx="60">
                  <c:v>14</c:v>
                </c:pt>
                <c:pt idx="61">
                  <c:v>20</c:v>
                </c:pt>
                <c:pt idx="62">
                  <c:v>19</c:v>
                </c:pt>
                <c:pt idx="63">
                  <c:v>18</c:v>
                </c:pt>
                <c:pt idx="64">
                  <c:v>16</c:v>
                </c:pt>
                <c:pt idx="65">
                  <c:v>18</c:v>
                </c:pt>
                <c:pt idx="66">
                  <c:v>19</c:v>
                </c:pt>
                <c:pt idx="67">
                  <c:v>14</c:v>
                </c:pt>
                <c:pt idx="68">
                  <c:v>8</c:v>
                </c:pt>
                <c:pt idx="69">
                  <c:v>15</c:v>
                </c:pt>
                <c:pt idx="70">
                  <c:v>19</c:v>
                </c:pt>
                <c:pt idx="71">
                  <c:v>18</c:v>
                </c:pt>
                <c:pt idx="72">
                  <c:v>18</c:v>
                </c:pt>
                <c:pt idx="73">
                  <c:v>16</c:v>
                </c:pt>
                <c:pt idx="74">
                  <c:v>17</c:v>
                </c:pt>
                <c:pt idx="75">
                  <c:v>14</c:v>
                </c:pt>
                <c:pt idx="76">
                  <c:v>15</c:v>
                </c:pt>
                <c:pt idx="77">
                  <c:v>17</c:v>
                </c:pt>
                <c:pt idx="78">
                  <c:v>19</c:v>
                </c:pt>
                <c:pt idx="79">
                  <c:v>18</c:v>
                </c:pt>
                <c:pt idx="80">
                  <c:v>16</c:v>
                </c:pt>
                <c:pt idx="81">
                  <c:v>14</c:v>
                </c:pt>
                <c:pt idx="82">
                  <c:v>20</c:v>
                </c:pt>
                <c:pt idx="83">
                  <c:v>20</c:v>
                </c:pt>
                <c:pt idx="84">
                  <c:v>19</c:v>
                </c:pt>
                <c:pt idx="85">
                  <c:v>16</c:v>
                </c:pt>
                <c:pt idx="86">
                  <c:v>20</c:v>
                </c:pt>
                <c:pt idx="87">
                  <c:v>16</c:v>
                </c:pt>
                <c:pt idx="88">
                  <c:v>10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14</c:v>
                </c:pt>
                <c:pt idx="93">
                  <c:v>14</c:v>
                </c:pt>
                <c:pt idx="94">
                  <c:v>20</c:v>
                </c:pt>
                <c:pt idx="95">
                  <c:v>10</c:v>
                </c:pt>
                <c:pt idx="96">
                  <c:v>17</c:v>
                </c:pt>
                <c:pt idx="97">
                  <c:v>19</c:v>
                </c:pt>
                <c:pt idx="98">
                  <c:v>18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18</c:v>
                </c:pt>
                <c:pt idx="103">
                  <c:v>18</c:v>
                </c:pt>
                <c:pt idx="104">
                  <c:v>19</c:v>
                </c:pt>
                <c:pt idx="105">
                  <c:v>20</c:v>
                </c:pt>
                <c:pt idx="106">
                  <c:v>18</c:v>
                </c:pt>
                <c:pt idx="107">
                  <c:v>19</c:v>
                </c:pt>
                <c:pt idx="108">
                  <c:v>10</c:v>
                </c:pt>
                <c:pt idx="109">
                  <c:v>19</c:v>
                </c:pt>
                <c:pt idx="110">
                  <c:v>20</c:v>
                </c:pt>
                <c:pt idx="111">
                  <c:v>13</c:v>
                </c:pt>
                <c:pt idx="112">
                  <c:v>18</c:v>
                </c:pt>
                <c:pt idx="113">
                  <c:v>18</c:v>
                </c:pt>
                <c:pt idx="114">
                  <c:v>16</c:v>
                </c:pt>
                <c:pt idx="115">
                  <c:v>14</c:v>
                </c:pt>
                <c:pt idx="116">
                  <c:v>17</c:v>
                </c:pt>
                <c:pt idx="117">
                  <c:v>14</c:v>
                </c:pt>
                <c:pt idx="118">
                  <c:v>7</c:v>
                </c:pt>
                <c:pt idx="119">
                  <c:v>18</c:v>
                </c:pt>
                <c:pt idx="120">
                  <c:v>15</c:v>
                </c:pt>
                <c:pt idx="121">
                  <c:v>13</c:v>
                </c:pt>
                <c:pt idx="122">
                  <c:v>14</c:v>
                </c:pt>
                <c:pt idx="123">
                  <c:v>18</c:v>
                </c:pt>
                <c:pt idx="124">
                  <c:v>19</c:v>
                </c:pt>
                <c:pt idx="125">
                  <c:v>17</c:v>
                </c:pt>
                <c:pt idx="126">
                  <c:v>19</c:v>
                </c:pt>
                <c:pt idx="127">
                  <c:v>19</c:v>
                </c:pt>
                <c:pt idx="128">
                  <c:v>20</c:v>
                </c:pt>
                <c:pt idx="129">
                  <c:v>16</c:v>
                </c:pt>
                <c:pt idx="130">
                  <c:v>17</c:v>
                </c:pt>
                <c:pt idx="131">
                  <c:v>19</c:v>
                </c:pt>
                <c:pt idx="132">
                  <c:v>17</c:v>
                </c:pt>
                <c:pt idx="133">
                  <c:v>19</c:v>
                </c:pt>
                <c:pt idx="134">
                  <c:v>20</c:v>
                </c:pt>
                <c:pt idx="135">
                  <c:v>17</c:v>
                </c:pt>
                <c:pt idx="136">
                  <c:v>17</c:v>
                </c:pt>
                <c:pt idx="137">
                  <c:v>20</c:v>
                </c:pt>
                <c:pt idx="138">
                  <c:v>9</c:v>
                </c:pt>
                <c:pt idx="139">
                  <c:v>6</c:v>
                </c:pt>
                <c:pt idx="140">
                  <c:v>17</c:v>
                </c:pt>
                <c:pt idx="141">
                  <c:v>11</c:v>
                </c:pt>
                <c:pt idx="142">
                  <c:v>19</c:v>
                </c:pt>
                <c:pt idx="143">
                  <c:v>14</c:v>
                </c:pt>
                <c:pt idx="144">
                  <c:v>16</c:v>
                </c:pt>
                <c:pt idx="145">
                  <c:v>19</c:v>
                </c:pt>
                <c:pt idx="146">
                  <c:v>12</c:v>
                </c:pt>
                <c:pt idx="147">
                  <c:v>11</c:v>
                </c:pt>
                <c:pt idx="148">
                  <c:v>7</c:v>
                </c:pt>
                <c:pt idx="149">
                  <c:v>16</c:v>
                </c:pt>
                <c:pt idx="150">
                  <c:v>16</c:v>
                </c:pt>
                <c:pt idx="151">
                  <c:v>17</c:v>
                </c:pt>
                <c:pt idx="152">
                  <c:v>15</c:v>
                </c:pt>
                <c:pt idx="153">
                  <c:v>16</c:v>
                </c:pt>
                <c:pt idx="154">
                  <c:v>20</c:v>
                </c:pt>
                <c:pt idx="155">
                  <c:v>10</c:v>
                </c:pt>
                <c:pt idx="156">
                  <c:v>15</c:v>
                </c:pt>
                <c:pt idx="157">
                  <c:v>20</c:v>
                </c:pt>
                <c:pt idx="158">
                  <c:v>17</c:v>
                </c:pt>
                <c:pt idx="159">
                  <c:v>13</c:v>
                </c:pt>
                <c:pt idx="160">
                  <c:v>11</c:v>
                </c:pt>
                <c:pt idx="161">
                  <c:v>16</c:v>
                </c:pt>
                <c:pt idx="162">
                  <c:v>20</c:v>
                </c:pt>
                <c:pt idx="163">
                  <c:v>12</c:v>
                </c:pt>
                <c:pt idx="164">
                  <c:v>13</c:v>
                </c:pt>
                <c:pt idx="165">
                  <c:v>12</c:v>
                </c:pt>
                <c:pt idx="166">
                  <c:v>15</c:v>
                </c:pt>
                <c:pt idx="167">
                  <c:v>20</c:v>
                </c:pt>
                <c:pt idx="168">
                  <c:v>15</c:v>
                </c:pt>
                <c:pt idx="169">
                  <c:v>15</c:v>
                </c:pt>
                <c:pt idx="170">
                  <c:v>16</c:v>
                </c:pt>
                <c:pt idx="171">
                  <c:v>16</c:v>
                </c:pt>
                <c:pt idx="172">
                  <c:v>15</c:v>
                </c:pt>
                <c:pt idx="173">
                  <c:v>20</c:v>
                </c:pt>
                <c:pt idx="174">
                  <c:v>8</c:v>
                </c:pt>
                <c:pt idx="175">
                  <c:v>17</c:v>
                </c:pt>
                <c:pt idx="176">
                  <c:v>18</c:v>
                </c:pt>
                <c:pt idx="177">
                  <c:v>13</c:v>
                </c:pt>
                <c:pt idx="178">
                  <c:v>17</c:v>
                </c:pt>
                <c:pt idx="179">
                  <c:v>16</c:v>
                </c:pt>
                <c:pt idx="180">
                  <c:v>17</c:v>
                </c:pt>
                <c:pt idx="181">
                  <c:v>12</c:v>
                </c:pt>
                <c:pt idx="182">
                  <c:v>10</c:v>
                </c:pt>
                <c:pt idx="183">
                  <c:v>19</c:v>
                </c:pt>
                <c:pt idx="184">
                  <c:v>12</c:v>
                </c:pt>
                <c:pt idx="185">
                  <c:v>18</c:v>
                </c:pt>
                <c:pt idx="186">
                  <c:v>20</c:v>
                </c:pt>
                <c:pt idx="187">
                  <c:v>20</c:v>
                </c:pt>
                <c:pt idx="188">
                  <c:v>9</c:v>
                </c:pt>
                <c:pt idx="189">
                  <c:v>20</c:v>
                </c:pt>
                <c:pt idx="190">
                  <c:v>2</c:v>
                </c:pt>
                <c:pt idx="191">
                  <c:v>8</c:v>
                </c:pt>
                <c:pt idx="192">
                  <c:v>8</c:v>
                </c:pt>
                <c:pt idx="193">
                  <c:v>16</c:v>
                </c:pt>
                <c:pt idx="194">
                  <c:v>20</c:v>
                </c:pt>
                <c:pt idx="195">
                  <c:v>17</c:v>
                </c:pt>
                <c:pt idx="196">
                  <c:v>18</c:v>
                </c:pt>
                <c:pt idx="197">
                  <c:v>14</c:v>
                </c:pt>
                <c:pt idx="198">
                  <c:v>16</c:v>
                </c:pt>
                <c:pt idx="199">
                  <c:v>12</c:v>
                </c:pt>
                <c:pt idx="200">
                  <c:v>12</c:v>
                </c:pt>
                <c:pt idx="201">
                  <c:v>17</c:v>
                </c:pt>
              </c:numCache>
            </c:numRef>
          </c:val>
        </c:ser>
        <c:ser>
          <c:idx val="9"/>
          <c:order val="9"/>
          <c:tx>
            <c:strRef>
              <c:f>Sheet1!$K$5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Sheet1!$K$6:$K$207</c:f>
              <c:numCache>
                <c:formatCode>0%</c:formatCode>
                <c:ptCount val="202"/>
                <c:pt idx="0">
                  <c:v>1</c:v>
                </c:pt>
                <c:pt idx="1" c:formatCode="General">
                  <c:v>69</c:v>
                </c:pt>
                <c:pt idx="2" c:formatCode="General">
                  <c:v>56</c:v>
                </c:pt>
                <c:pt idx="3" c:formatCode="General">
                  <c:v>78</c:v>
                </c:pt>
                <c:pt idx="4" c:formatCode="General">
                  <c:v>76</c:v>
                </c:pt>
                <c:pt idx="5" c:formatCode="General">
                  <c:v>88.5</c:v>
                </c:pt>
                <c:pt idx="6" c:formatCode="General">
                  <c:v>89</c:v>
                </c:pt>
                <c:pt idx="7" c:formatCode="General">
                  <c:v>84</c:v>
                </c:pt>
                <c:pt idx="8" c:formatCode="General">
                  <c:v>71</c:v>
                </c:pt>
                <c:pt idx="9" c:formatCode="General">
                  <c:v>89</c:v>
                </c:pt>
                <c:pt idx="10" c:formatCode="General">
                  <c:v>0</c:v>
                </c:pt>
                <c:pt idx="11" c:formatCode="General">
                  <c:v>76</c:v>
                </c:pt>
                <c:pt idx="12" c:formatCode="General">
                  <c:v>86</c:v>
                </c:pt>
                <c:pt idx="13" c:formatCode="General">
                  <c:v>83</c:v>
                </c:pt>
                <c:pt idx="14" c:formatCode="General">
                  <c:v>89</c:v>
                </c:pt>
                <c:pt idx="15" c:formatCode="General">
                  <c:v>67.5</c:v>
                </c:pt>
                <c:pt idx="16" c:formatCode="General">
                  <c:v>72</c:v>
                </c:pt>
                <c:pt idx="17" c:formatCode="General">
                  <c:v>68</c:v>
                </c:pt>
                <c:pt idx="18" c:formatCode="General">
                  <c:v>85</c:v>
                </c:pt>
                <c:pt idx="19" c:formatCode="General">
                  <c:v>84</c:v>
                </c:pt>
                <c:pt idx="20" c:formatCode="General">
                  <c:v>76</c:v>
                </c:pt>
                <c:pt idx="21" c:formatCode="General">
                  <c:v>82</c:v>
                </c:pt>
                <c:pt idx="22" c:formatCode="General">
                  <c:v>78</c:v>
                </c:pt>
                <c:pt idx="23" c:formatCode="General">
                  <c:v>76</c:v>
                </c:pt>
                <c:pt idx="24" c:formatCode="General">
                  <c:v>86</c:v>
                </c:pt>
                <c:pt idx="25" c:formatCode="General">
                  <c:v>81</c:v>
                </c:pt>
                <c:pt idx="26" c:formatCode="General">
                  <c:v>88</c:v>
                </c:pt>
                <c:pt idx="27" c:formatCode="General">
                  <c:v>84</c:v>
                </c:pt>
                <c:pt idx="28" c:formatCode="General">
                  <c:v>89</c:v>
                </c:pt>
                <c:pt idx="29" c:formatCode="General">
                  <c:v>81</c:v>
                </c:pt>
                <c:pt idx="30" c:formatCode="General">
                  <c:v>80</c:v>
                </c:pt>
                <c:pt idx="31" c:formatCode="General">
                  <c:v>86</c:v>
                </c:pt>
                <c:pt idx="32" c:formatCode="General">
                  <c:v>87</c:v>
                </c:pt>
                <c:pt idx="33" c:formatCode="General">
                  <c:v>89</c:v>
                </c:pt>
                <c:pt idx="34" c:formatCode="General">
                  <c:v>87</c:v>
                </c:pt>
                <c:pt idx="35" c:formatCode="General">
                  <c:v>74</c:v>
                </c:pt>
                <c:pt idx="36" c:formatCode="General">
                  <c:v>79</c:v>
                </c:pt>
                <c:pt idx="37" c:formatCode="General">
                  <c:v>82</c:v>
                </c:pt>
                <c:pt idx="38" c:formatCode="General">
                  <c:v>83</c:v>
                </c:pt>
                <c:pt idx="39" c:formatCode="General">
                  <c:v>89</c:v>
                </c:pt>
                <c:pt idx="40" c:formatCode="General">
                  <c:v>77</c:v>
                </c:pt>
                <c:pt idx="41" c:formatCode="General">
                  <c:v>80</c:v>
                </c:pt>
                <c:pt idx="42" c:formatCode="General">
                  <c:v>73</c:v>
                </c:pt>
                <c:pt idx="43" c:formatCode="General">
                  <c:v>73</c:v>
                </c:pt>
                <c:pt idx="44" c:formatCode="General">
                  <c:v>80</c:v>
                </c:pt>
                <c:pt idx="45" c:formatCode="General">
                  <c:v>87</c:v>
                </c:pt>
                <c:pt idx="46" c:formatCode="General">
                  <c:v>80</c:v>
                </c:pt>
                <c:pt idx="47" c:formatCode="General">
                  <c:v>85</c:v>
                </c:pt>
                <c:pt idx="48" c:formatCode="General">
                  <c:v>78</c:v>
                </c:pt>
                <c:pt idx="49" c:formatCode="General">
                  <c:v>88</c:v>
                </c:pt>
                <c:pt idx="50" c:formatCode="General">
                  <c:v>78</c:v>
                </c:pt>
                <c:pt idx="51" c:formatCode="General">
                  <c:v>89</c:v>
                </c:pt>
                <c:pt idx="52" c:formatCode="General">
                  <c:v>92</c:v>
                </c:pt>
                <c:pt idx="53" c:formatCode="General">
                  <c:v>88</c:v>
                </c:pt>
                <c:pt idx="54" c:formatCode="General">
                  <c:v>87</c:v>
                </c:pt>
                <c:pt idx="55" c:formatCode="General">
                  <c:v>88</c:v>
                </c:pt>
                <c:pt idx="56" c:formatCode="General">
                  <c:v>87</c:v>
                </c:pt>
                <c:pt idx="57" c:formatCode="General">
                  <c:v>88</c:v>
                </c:pt>
                <c:pt idx="58" c:formatCode="General">
                  <c:v>84</c:v>
                </c:pt>
                <c:pt idx="59" c:formatCode="General">
                  <c:v>73</c:v>
                </c:pt>
                <c:pt idx="60" c:formatCode="General">
                  <c:v>80</c:v>
                </c:pt>
                <c:pt idx="61" c:formatCode="General">
                  <c:v>76</c:v>
                </c:pt>
                <c:pt idx="62" c:formatCode="General">
                  <c:v>83</c:v>
                </c:pt>
                <c:pt idx="63" c:formatCode="General">
                  <c:v>90</c:v>
                </c:pt>
                <c:pt idx="64" c:formatCode="General">
                  <c:v>75</c:v>
                </c:pt>
                <c:pt idx="65" c:formatCode="General">
                  <c:v>73</c:v>
                </c:pt>
                <c:pt idx="66" c:formatCode="General">
                  <c:v>88</c:v>
                </c:pt>
                <c:pt idx="67" c:formatCode="General">
                  <c:v>72</c:v>
                </c:pt>
                <c:pt idx="68" c:formatCode="General">
                  <c:v>73</c:v>
                </c:pt>
                <c:pt idx="69" c:formatCode="General">
                  <c:v>84</c:v>
                </c:pt>
                <c:pt idx="70" c:formatCode="General">
                  <c:v>72</c:v>
                </c:pt>
                <c:pt idx="71" c:formatCode="General">
                  <c:v>84</c:v>
                </c:pt>
                <c:pt idx="72" c:formatCode="General">
                  <c:v>84</c:v>
                </c:pt>
                <c:pt idx="73" c:formatCode="General">
                  <c:v>72</c:v>
                </c:pt>
                <c:pt idx="74" c:formatCode="General">
                  <c:v>87</c:v>
                </c:pt>
                <c:pt idx="75" c:formatCode="General">
                  <c:v>82</c:v>
                </c:pt>
                <c:pt idx="76" c:formatCode="General">
                  <c:v>88</c:v>
                </c:pt>
                <c:pt idx="77" c:formatCode="General">
                  <c:v>84</c:v>
                </c:pt>
                <c:pt idx="78" c:formatCode="General">
                  <c:v>85</c:v>
                </c:pt>
                <c:pt idx="79" c:formatCode="General">
                  <c:v>81</c:v>
                </c:pt>
                <c:pt idx="80" c:formatCode="General">
                  <c:v>84</c:v>
                </c:pt>
                <c:pt idx="81" c:formatCode="General">
                  <c:v>78</c:v>
                </c:pt>
                <c:pt idx="82" c:formatCode="General">
                  <c:v>89</c:v>
                </c:pt>
                <c:pt idx="83" c:formatCode="General">
                  <c:v>90</c:v>
                </c:pt>
                <c:pt idx="84" c:formatCode="General">
                  <c:v>87</c:v>
                </c:pt>
                <c:pt idx="85" c:formatCode="General">
                  <c:v>68</c:v>
                </c:pt>
                <c:pt idx="86" c:formatCode="General">
                  <c:v>92</c:v>
                </c:pt>
                <c:pt idx="87" c:formatCode="General">
                  <c:v>83</c:v>
                </c:pt>
                <c:pt idx="88" c:formatCode="General">
                  <c:v>73</c:v>
                </c:pt>
                <c:pt idx="89" c:formatCode="General">
                  <c:v>91</c:v>
                </c:pt>
                <c:pt idx="90" c:formatCode="General">
                  <c:v>87</c:v>
                </c:pt>
                <c:pt idx="91" c:formatCode="General">
                  <c:v>88</c:v>
                </c:pt>
                <c:pt idx="92" c:formatCode="General">
                  <c:v>77</c:v>
                </c:pt>
                <c:pt idx="93" c:formatCode="General">
                  <c:v>70</c:v>
                </c:pt>
                <c:pt idx="94" c:formatCode="General">
                  <c:v>91</c:v>
                </c:pt>
                <c:pt idx="95" c:formatCode="General">
                  <c:v>66</c:v>
                </c:pt>
                <c:pt idx="96" c:formatCode="General">
                  <c:v>81</c:v>
                </c:pt>
                <c:pt idx="97" c:formatCode="General">
                  <c:v>80</c:v>
                </c:pt>
                <c:pt idx="98" c:formatCode="General">
                  <c:v>79</c:v>
                </c:pt>
                <c:pt idx="99" c:formatCode="General">
                  <c:v>90</c:v>
                </c:pt>
                <c:pt idx="100" c:formatCode="General">
                  <c:v>76</c:v>
                </c:pt>
                <c:pt idx="101" c:formatCode="General">
                  <c:v>91</c:v>
                </c:pt>
                <c:pt idx="102" c:formatCode="General">
                  <c:v>77</c:v>
                </c:pt>
                <c:pt idx="103" c:formatCode="General">
                  <c:v>91</c:v>
                </c:pt>
                <c:pt idx="104" c:formatCode="General">
                  <c:v>84</c:v>
                </c:pt>
                <c:pt idx="105" c:formatCode="General">
                  <c:v>88</c:v>
                </c:pt>
                <c:pt idx="106" c:formatCode="General">
                  <c:v>88</c:v>
                </c:pt>
                <c:pt idx="107" c:formatCode="General">
                  <c:v>91</c:v>
                </c:pt>
                <c:pt idx="108" c:formatCode="General">
                  <c:v>79</c:v>
                </c:pt>
                <c:pt idx="109" c:formatCode="General">
                  <c:v>82</c:v>
                </c:pt>
                <c:pt idx="110" c:formatCode="General">
                  <c:v>86</c:v>
                </c:pt>
                <c:pt idx="111" c:formatCode="General">
                  <c:v>60</c:v>
                </c:pt>
                <c:pt idx="112" c:formatCode="General">
                  <c:v>85</c:v>
                </c:pt>
                <c:pt idx="113" c:formatCode="General">
                  <c:v>87</c:v>
                </c:pt>
                <c:pt idx="114" c:formatCode="General">
                  <c:v>67</c:v>
                </c:pt>
                <c:pt idx="115" c:formatCode="General">
                  <c:v>75</c:v>
                </c:pt>
                <c:pt idx="116" c:formatCode="General">
                  <c:v>78</c:v>
                </c:pt>
                <c:pt idx="117" c:formatCode="General">
                  <c:v>66</c:v>
                </c:pt>
                <c:pt idx="118" c:formatCode="General">
                  <c:v>62</c:v>
                </c:pt>
                <c:pt idx="119" c:formatCode="General">
                  <c:v>82</c:v>
                </c:pt>
                <c:pt idx="120" c:formatCode="General">
                  <c:v>80</c:v>
                </c:pt>
                <c:pt idx="121" c:formatCode="General">
                  <c:v>70</c:v>
                </c:pt>
                <c:pt idx="122" c:formatCode="General">
                  <c:v>75</c:v>
                </c:pt>
                <c:pt idx="123" c:formatCode="General">
                  <c:v>85</c:v>
                </c:pt>
                <c:pt idx="124" c:formatCode="General">
                  <c:v>92</c:v>
                </c:pt>
                <c:pt idx="125" c:formatCode="General">
                  <c:v>87</c:v>
                </c:pt>
                <c:pt idx="126" c:formatCode="General">
                  <c:v>79</c:v>
                </c:pt>
                <c:pt idx="127" c:formatCode="General">
                  <c:v>87</c:v>
                </c:pt>
                <c:pt idx="128" c:formatCode="General">
                  <c:v>85</c:v>
                </c:pt>
                <c:pt idx="129" c:formatCode="General">
                  <c:v>83</c:v>
                </c:pt>
                <c:pt idx="130" c:formatCode="General">
                  <c:v>87</c:v>
                </c:pt>
                <c:pt idx="131" c:formatCode="General">
                  <c:v>84</c:v>
                </c:pt>
                <c:pt idx="132" c:formatCode="General">
                  <c:v>76</c:v>
                </c:pt>
                <c:pt idx="133" c:formatCode="General">
                  <c:v>87</c:v>
                </c:pt>
                <c:pt idx="134" c:formatCode="General">
                  <c:v>87</c:v>
                </c:pt>
                <c:pt idx="135" c:formatCode="General">
                  <c:v>77</c:v>
                </c:pt>
                <c:pt idx="136" c:formatCode="General">
                  <c:v>85</c:v>
                </c:pt>
                <c:pt idx="137" c:formatCode="General">
                  <c:v>87</c:v>
                </c:pt>
                <c:pt idx="138" c:formatCode="General">
                  <c:v>69</c:v>
                </c:pt>
                <c:pt idx="139" c:formatCode="General">
                  <c:v>49</c:v>
                </c:pt>
                <c:pt idx="140" c:formatCode="General">
                  <c:v>76</c:v>
                </c:pt>
                <c:pt idx="141" c:formatCode="General">
                  <c:v>71</c:v>
                </c:pt>
                <c:pt idx="142" c:formatCode="General">
                  <c:v>83</c:v>
                </c:pt>
                <c:pt idx="143" c:formatCode="General">
                  <c:v>76</c:v>
                </c:pt>
                <c:pt idx="144" c:formatCode="General">
                  <c:v>76</c:v>
                </c:pt>
                <c:pt idx="145" c:formatCode="General">
                  <c:v>79</c:v>
                </c:pt>
                <c:pt idx="146" c:formatCode="General">
                  <c:v>64</c:v>
                </c:pt>
                <c:pt idx="147" c:formatCode="General">
                  <c:v>68</c:v>
                </c:pt>
                <c:pt idx="148" c:formatCode="General">
                  <c:v>65</c:v>
                </c:pt>
                <c:pt idx="149" c:formatCode="General">
                  <c:v>80</c:v>
                </c:pt>
                <c:pt idx="150" c:formatCode="General">
                  <c:v>87</c:v>
                </c:pt>
                <c:pt idx="151" c:formatCode="General">
                  <c:v>85</c:v>
                </c:pt>
                <c:pt idx="152" c:formatCode="General">
                  <c:v>93</c:v>
                </c:pt>
                <c:pt idx="153" c:formatCode="General">
                  <c:v>78</c:v>
                </c:pt>
                <c:pt idx="154" c:formatCode="General">
                  <c:v>85</c:v>
                </c:pt>
                <c:pt idx="155" c:formatCode="General">
                  <c:v>74</c:v>
                </c:pt>
                <c:pt idx="156" c:formatCode="General">
                  <c:v>70</c:v>
                </c:pt>
                <c:pt idx="157" c:formatCode="General">
                  <c:v>92</c:v>
                </c:pt>
                <c:pt idx="158" c:formatCode="General">
                  <c:v>83</c:v>
                </c:pt>
                <c:pt idx="159" c:formatCode="General">
                  <c:v>67</c:v>
                </c:pt>
                <c:pt idx="160" c:formatCode="General">
                  <c:v>68</c:v>
                </c:pt>
                <c:pt idx="161" c:formatCode="General">
                  <c:v>87</c:v>
                </c:pt>
                <c:pt idx="162" c:formatCode="General">
                  <c:v>81</c:v>
                </c:pt>
                <c:pt idx="163" c:formatCode="General">
                  <c:v>79</c:v>
                </c:pt>
                <c:pt idx="164" c:formatCode="General">
                  <c:v>68</c:v>
                </c:pt>
                <c:pt idx="165" c:formatCode="General">
                  <c:v>76</c:v>
                </c:pt>
                <c:pt idx="166" c:formatCode="General">
                  <c:v>77</c:v>
                </c:pt>
                <c:pt idx="167" c:formatCode="General">
                  <c:v>87</c:v>
                </c:pt>
                <c:pt idx="168" c:formatCode="General">
                  <c:v>79</c:v>
                </c:pt>
                <c:pt idx="169" c:formatCode="General">
                  <c:v>81</c:v>
                </c:pt>
                <c:pt idx="170" c:formatCode="General">
                  <c:v>86</c:v>
                </c:pt>
                <c:pt idx="171" c:formatCode="General">
                  <c:v>66</c:v>
                </c:pt>
                <c:pt idx="172" c:formatCode="General">
                  <c:v>78</c:v>
                </c:pt>
                <c:pt idx="173" c:formatCode="General">
                  <c:v>84</c:v>
                </c:pt>
                <c:pt idx="174" c:formatCode="General">
                  <c:v>55</c:v>
                </c:pt>
                <c:pt idx="175" c:formatCode="General">
                  <c:v>87</c:v>
                </c:pt>
                <c:pt idx="176" c:formatCode="General">
                  <c:v>86</c:v>
                </c:pt>
                <c:pt idx="177" c:formatCode="General">
                  <c:v>70</c:v>
                </c:pt>
                <c:pt idx="178" c:formatCode="General">
                  <c:v>80</c:v>
                </c:pt>
                <c:pt idx="179" c:formatCode="General">
                  <c:v>82</c:v>
                </c:pt>
                <c:pt idx="180" c:formatCode="General">
                  <c:v>80</c:v>
                </c:pt>
                <c:pt idx="181" c:formatCode="General">
                  <c:v>76</c:v>
                </c:pt>
                <c:pt idx="182" c:formatCode="General">
                  <c:v>54</c:v>
                </c:pt>
                <c:pt idx="183" c:formatCode="General">
                  <c:v>84</c:v>
                </c:pt>
                <c:pt idx="184" c:formatCode="General">
                  <c:v>60</c:v>
                </c:pt>
                <c:pt idx="185" c:formatCode="General">
                  <c:v>86</c:v>
                </c:pt>
                <c:pt idx="186" c:formatCode="General">
                  <c:v>84</c:v>
                </c:pt>
                <c:pt idx="187" c:formatCode="General">
                  <c:v>90</c:v>
                </c:pt>
                <c:pt idx="188" c:formatCode="General">
                  <c:v>77</c:v>
                </c:pt>
                <c:pt idx="189" c:formatCode="General">
                  <c:v>95</c:v>
                </c:pt>
                <c:pt idx="190" c:formatCode="General">
                  <c:v>69</c:v>
                </c:pt>
                <c:pt idx="191" c:formatCode="General">
                  <c:v>60</c:v>
                </c:pt>
                <c:pt idx="192" c:formatCode="General">
                  <c:v>68</c:v>
                </c:pt>
                <c:pt idx="193" c:formatCode="General">
                  <c:v>78</c:v>
                </c:pt>
                <c:pt idx="194" c:formatCode="General">
                  <c:v>92</c:v>
                </c:pt>
                <c:pt idx="195" c:formatCode="General">
                  <c:v>85</c:v>
                </c:pt>
                <c:pt idx="196" c:formatCode="General">
                  <c:v>80</c:v>
                </c:pt>
                <c:pt idx="197" c:formatCode="General">
                  <c:v>79</c:v>
                </c:pt>
                <c:pt idx="198" c:formatCode="General">
                  <c:v>75</c:v>
                </c:pt>
                <c:pt idx="199" c:formatCode="General">
                  <c:v>74</c:v>
                </c:pt>
                <c:pt idx="200" c:formatCode="General">
                  <c:v>65</c:v>
                </c:pt>
                <c:pt idx="201" c:formatCode="General">
                  <c:v>81</c:v>
                </c:pt>
              </c:numCache>
            </c:numRef>
          </c:val>
        </c:ser>
        <c:ser>
          <c:idx val="10"/>
          <c:order val="10"/>
          <c:tx>
            <c:strRef>
              <c:f>Sheet1!$L$5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Sheet1!$L$6:$L$207</c:f>
              <c:numCache>
                <c:formatCode>General</c:formatCode>
                <c:ptCount val="202"/>
                <c:pt idx="0">
                  <c:v>0</c:v>
                </c:pt>
                <c:pt idx="1">
                  <c:v>41.4</c:v>
                </c:pt>
                <c:pt idx="2">
                  <c:v>33.6</c:v>
                </c:pt>
                <c:pt idx="3">
                  <c:v>46.8</c:v>
                </c:pt>
                <c:pt idx="4">
                  <c:v>45.6</c:v>
                </c:pt>
                <c:pt idx="5">
                  <c:v>53.1</c:v>
                </c:pt>
                <c:pt idx="6">
                  <c:v>53.4</c:v>
                </c:pt>
                <c:pt idx="7">
                  <c:v>50.4</c:v>
                </c:pt>
                <c:pt idx="8">
                  <c:v>42.6</c:v>
                </c:pt>
                <c:pt idx="9">
                  <c:v>53.4</c:v>
                </c:pt>
                <c:pt idx="10">
                  <c:v>0</c:v>
                </c:pt>
                <c:pt idx="11">
                  <c:v>45.6</c:v>
                </c:pt>
                <c:pt idx="12">
                  <c:v>51.6</c:v>
                </c:pt>
                <c:pt idx="13">
                  <c:v>49.8</c:v>
                </c:pt>
                <c:pt idx="14">
                  <c:v>53.4</c:v>
                </c:pt>
                <c:pt idx="15">
                  <c:v>40.5</c:v>
                </c:pt>
                <c:pt idx="16">
                  <c:v>43.2</c:v>
                </c:pt>
                <c:pt idx="17">
                  <c:v>40.8</c:v>
                </c:pt>
                <c:pt idx="18">
                  <c:v>51</c:v>
                </c:pt>
                <c:pt idx="19">
                  <c:v>50.4</c:v>
                </c:pt>
                <c:pt idx="20">
                  <c:v>45.6</c:v>
                </c:pt>
                <c:pt idx="21">
                  <c:v>49.2</c:v>
                </c:pt>
                <c:pt idx="22">
                  <c:v>46.8</c:v>
                </c:pt>
                <c:pt idx="23">
                  <c:v>45.6</c:v>
                </c:pt>
                <c:pt idx="24">
                  <c:v>51.6</c:v>
                </c:pt>
                <c:pt idx="25">
                  <c:v>48.6</c:v>
                </c:pt>
                <c:pt idx="26">
                  <c:v>52.8</c:v>
                </c:pt>
                <c:pt idx="27">
                  <c:v>50.4</c:v>
                </c:pt>
                <c:pt idx="28">
                  <c:v>53.4</c:v>
                </c:pt>
                <c:pt idx="29">
                  <c:v>48.6</c:v>
                </c:pt>
                <c:pt idx="30">
                  <c:v>48</c:v>
                </c:pt>
                <c:pt idx="31">
                  <c:v>51.6</c:v>
                </c:pt>
                <c:pt idx="32">
                  <c:v>52.2</c:v>
                </c:pt>
                <c:pt idx="33">
                  <c:v>53.4</c:v>
                </c:pt>
                <c:pt idx="34">
                  <c:v>52.2</c:v>
                </c:pt>
                <c:pt idx="35">
                  <c:v>44.4</c:v>
                </c:pt>
                <c:pt idx="36">
                  <c:v>47.4</c:v>
                </c:pt>
                <c:pt idx="37">
                  <c:v>49.2</c:v>
                </c:pt>
                <c:pt idx="38">
                  <c:v>49.8</c:v>
                </c:pt>
                <c:pt idx="39">
                  <c:v>53.4</c:v>
                </c:pt>
                <c:pt idx="40">
                  <c:v>46.2</c:v>
                </c:pt>
                <c:pt idx="41">
                  <c:v>48</c:v>
                </c:pt>
                <c:pt idx="42">
                  <c:v>43.8</c:v>
                </c:pt>
                <c:pt idx="43">
                  <c:v>43.8</c:v>
                </c:pt>
                <c:pt idx="44">
                  <c:v>48</c:v>
                </c:pt>
                <c:pt idx="45">
                  <c:v>52.2</c:v>
                </c:pt>
                <c:pt idx="46">
                  <c:v>48</c:v>
                </c:pt>
                <c:pt idx="47">
                  <c:v>51</c:v>
                </c:pt>
                <c:pt idx="48">
                  <c:v>46.8</c:v>
                </c:pt>
                <c:pt idx="49">
                  <c:v>52.8</c:v>
                </c:pt>
                <c:pt idx="50">
                  <c:v>46.8</c:v>
                </c:pt>
                <c:pt idx="51">
                  <c:v>53.4</c:v>
                </c:pt>
                <c:pt idx="52">
                  <c:v>55.2</c:v>
                </c:pt>
                <c:pt idx="53">
                  <c:v>52.8</c:v>
                </c:pt>
                <c:pt idx="54">
                  <c:v>52.2</c:v>
                </c:pt>
                <c:pt idx="55">
                  <c:v>52.8</c:v>
                </c:pt>
                <c:pt idx="56">
                  <c:v>52.2</c:v>
                </c:pt>
                <c:pt idx="57">
                  <c:v>52.8</c:v>
                </c:pt>
                <c:pt idx="58">
                  <c:v>50.4</c:v>
                </c:pt>
                <c:pt idx="59">
                  <c:v>43.8</c:v>
                </c:pt>
                <c:pt idx="60">
                  <c:v>48</c:v>
                </c:pt>
                <c:pt idx="61">
                  <c:v>45.6</c:v>
                </c:pt>
                <c:pt idx="62">
                  <c:v>49.8</c:v>
                </c:pt>
                <c:pt idx="63">
                  <c:v>54</c:v>
                </c:pt>
                <c:pt idx="64">
                  <c:v>45</c:v>
                </c:pt>
                <c:pt idx="65">
                  <c:v>43.8</c:v>
                </c:pt>
                <c:pt idx="66">
                  <c:v>52.8</c:v>
                </c:pt>
                <c:pt idx="67">
                  <c:v>43.2</c:v>
                </c:pt>
                <c:pt idx="68">
                  <c:v>43.8</c:v>
                </c:pt>
                <c:pt idx="69">
                  <c:v>50.4</c:v>
                </c:pt>
                <c:pt idx="70">
                  <c:v>43.2</c:v>
                </c:pt>
                <c:pt idx="71">
                  <c:v>50.4</c:v>
                </c:pt>
                <c:pt idx="72">
                  <c:v>50.4</c:v>
                </c:pt>
                <c:pt idx="73">
                  <c:v>43.2</c:v>
                </c:pt>
                <c:pt idx="74">
                  <c:v>52.2</c:v>
                </c:pt>
                <c:pt idx="75">
                  <c:v>49.2</c:v>
                </c:pt>
                <c:pt idx="76">
                  <c:v>52.8</c:v>
                </c:pt>
                <c:pt idx="77">
                  <c:v>50.4</c:v>
                </c:pt>
                <c:pt idx="78">
                  <c:v>51</c:v>
                </c:pt>
                <c:pt idx="79">
                  <c:v>48.6</c:v>
                </c:pt>
                <c:pt idx="80">
                  <c:v>50.4</c:v>
                </c:pt>
                <c:pt idx="81">
                  <c:v>46.8</c:v>
                </c:pt>
                <c:pt idx="82">
                  <c:v>53.4</c:v>
                </c:pt>
                <c:pt idx="83">
                  <c:v>54</c:v>
                </c:pt>
                <c:pt idx="84">
                  <c:v>52.2</c:v>
                </c:pt>
                <c:pt idx="85">
                  <c:v>40.8</c:v>
                </c:pt>
                <c:pt idx="86">
                  <c:v>55.2</c:v>
                </c:pt>
                <c:pt idx="87">
                  <c:v>49.8</c:v>
                </c:pt>
                <c:pt idx="88">
                  <c:v>43.8</c:v>
                </c:pt>
                <c:pt idx="89">
                  <c:v>54.6</c:v>
                </c:pt>
                <c:pt idx="90">
                  <c:v>52.2</c:v>
                </c:pt>
                <c:pt idx="91">
                  <c:v>52.8</c:v>
                </c:pt>
                <c:pt idx="92">
                  <c:v>46.2</c:v>
                </c:pt>
                <c:pt idx="93">
                  <c:v>42</c:v>
                </c:pt>
                <c:pt idx="94">
                  <c:v>54.6</c:v>
                </c:pt>
                <c:pt idx="95">
                  <c:v>39.6</c:v>
                </c:pt>
                <c:pt idx="96">
                  <c:v>48.6</c:v>
                </c:pt>
                <c:pt idx="97">
                  <c:v>48</c:v>
                </c:pt>
                <c:pt idx="98">
                  <c:v>47.4</c:v>
                </c:pt>
                <c:pt idx="99">
                  <c:v>54</c:v>
                </c:pt>
                <c:pt idx="100">
                  <c:v>45.6</c:v>
                </c:pt>
                <c:pt idx="101">
                  <c:v>54.6</c:v>
                </c:pt>
                <c:pt idx="102">
                  <c:v>46.2</c:v>
                </c:pt>
                <c:pt idx="103">
                  <c:v>54.6</c:v>
                </c:pt>
                <c:pt idx="104">
                  <c:v>50.4</c:v>
                </c:pt>
                <c:pt idx="105">
                  <c:v>52.8</c:v>
                </c:pt>
                <c:pt idx="106">
                  <c:v>52.8</c:v>
                </c:pt>
                <c:pt idx="107">
                  <c:v>54.6</c:v>
                </c:pt>
                <c:pt idx="108">
                  <c:v>47.4</c:v>
                </c:pt>
                <c:pt idx="109">
                  <c:v>49.2</c:v>
                </c:pt>
                <c:pt idx="110">
                  <c:v>51.6</c:v>
                </c:pt>
                <c:pt idx="111">
                  <c:v>36</c:v>
                </c:pt>
                <c:pt idx="112">
                  <c:v>51</c:v>
                </c:pt>
                <c:pt idx="113">
                  <c:v>52.2</c:v>
                </c:pt>
                <c:pt idx="114">
                  <c:v>40.2</c:v>
                </c:pt>
                <c:pt idx="115">
                  <c:v>45</c:v>
                </c:pt>
                <c:pt idx="116">
                  <c:v>46.8</c:v>
                </c:pt>
                <c:pt idx="117">
                  <c:v>39.6</c:v>
                </c:pt>
                <c:pt idx="118">
                  <c:v>37.2</c:v>
                </c:pt>
                <c:pt idx="119">
                  <c:v>49.2</c:v>
                </c:pt>
                <c:pt idx="120">
                  <c:v>48</c:v>
                </c:pt>
                <c:pt idx="121">
                  <c:v>42</c:v>
                </c:pt>
                <c:pt idx="122">
                  <c:v>45</c:v>
                </c:pt>
                <c:pt idx="123">
                  <c:v>51</c:v>
                </c:pt>
                <c:pt idx="124">
                  <c:v>55.2</c:v>
                </c:pt>
                <c:pt idx="125">
                  <c:v>52.2</c:v>
                </c:pt>
                <c:pt idx="126">
                  <c:v>47.4</c:v>
                </c:pt>
                <c:pt idx="127">
                  <c:v>52.2</c:v>
                </c:pt>
                <c:pt idx="128">
                  <c:v>51</c:v>
                </c:pt>
                <c:pt idx="129">
                  <c:v>49.8</c:v>
                </c:pt>
                <c:pt idx="130">
                  <c:v>52.2</c:v>
                </c:pt>
                <c:pt idx="131">
                  <c:v>50.4</c:v>
                </c:pt>
                <c:pt idx="132">
                  <c:v>45.6</c:v>
                </c:pt>
                <c:pt idx="133">
                  <c:v>52.2</c:v>
                </c:pt>
                <c:pt idx="134">
                  <c:v>52.2</c:v>
                </c:pt>
                <c:pt idx="135">
                  <c:v>46.2</c:v>
                </c:pt>
                <c:pt idx="136">
                  <c:v>51</c:v>
                </c:pt>
                <c:pt idx="137">
                  <c:v>52.2</c:v>
                </c:pt>
                <c:pt idx="138">
                  <c:v>41.4</c:v>
                </c:pt>
                <c:pt idx="139">
                  <c:v>29.4</c:v>
                </c:pt>
                <c:pt idx="140">
                  <c:v>45.6</c:v>
                </c:pt>
                <c:pt idx="141">
                  <c:v>42.6</c:v>
                </c:pt>
                <c:pt idx="142">
                  <c:v>49.8</c:v>
                </c:pt>
                <c:pt idx="143">
                  <c:v>45.6</c:v>
                </c:pt>
                <c:pt idx="144">
                  <c:v>45.6</c:v>
                </c:pt>
                <c:pt idx="145">
                  <c:v>47.4</c:v>
                </c:pt>
                <c:pt idx="146">
                  <c:v>38.4</c:v>
                </c:pt>
                <c:pt idx="147">
                  <c:v>40.8</c:v>
                </c:pt>
                <c:pt idx="148">
                  <c:v>39</c:v>
                </c:pt>
                <c:pt idx="149">
                  <c:v>48</c:v>
                </c:pt>
                <c:pt idx="150">
                  <c:v>52.2</c:v>
                </c:pt>
                <c:pt idx="151">
                  <c:v>51</c:v>
                </c:pt>
                <c:pt idx="152">
                  <c:v>55.8</c:v>
                </c:pt>
                <c:pt idx="153">
                  <c:v>46.8</c:v>
                </c:pt>
                <c:pt idx="154">
                  <c:v>51</c:v>
                </c:pt>
                <c:pt idx="155">
                  <c:v>44.4</c:v>
                </c:pt>
                <c:pt idx="156">
                  <c:v>42</c:v>
                </c:pt>
                <c:pt idx="157">
                  <c:v>55.2</c:v>
                </c:pt>
                <c:pt idx="158">
                  <c:v>49.8</c:v>
                </c:pt>
                <c:pt idx="159">
                  <c:v>40.2</c:v>
                </c:pt>
                <c:pt idx="160">
                  <c:v>40.8</c:v>
                </c:pt>
                <c:pt idx="161">
                  <c:v>52.2</c:v>
                </c:pt>
                <c:pt idx="162">
                  <c:v>48.6</c:v>
                </c:pt>
                <c:pt idx="163">
                  <c:v>47.4</c:v>
                </c:pt>
                <c:pt idx="164">
                  <c:v>40.8</c:v>
                </c:pt>
                <c:pt idx="165">
                  <c:v>45.6</c:v>
                </c:pt>
                <c:pt idx="166">
                  <c:v>46.2</c:v>
                </c:pt>
                <c:pt idx="167">
                  <c:v>52.2</c:v>
                </c:pt>
                <c:pt idx="168">
                  <c:v>47.4</c:v>
                </c:pt>
                <c:pt idx="169">
                  <c:v>48.6</c:v>
                </c:pt>
                <c:pt idx="170">
                  <c:v>51.6</c:v>
                </c:pt>
                <c:pt idx="171">
                  <c:v>39.6</c:v>
                </c:pt>
                <c:pt idx="172">
                  <c:v>46.8</c:v>
                </c:pt>
                <c:pt idx="173">
                  <c:v>50.4</c:v>
                </c:pt>
                <c:pt idx="174">
                  <c:v>33</c:v>
                </c:pt>
                <c:pt idx="175">
                  <c:v>52.2</c:v>
                </c:pt>
                <c:pt idx="176">
                  <c:v>51.6</c:v>
                </c:pt>
                <c:pt idx="177">
                  <c:v>42</c:v>
                </c:pt>
                <c:pt idx="178">
                  <c:v>48</c:v>
                </c:pt>
                <c:pt idx="179">
                  <c:v>49.2</c:v>
                </c:pt>
                <c:pt idx="180">
                  <c:v>48</c:v>
                </c:pt>
                <c:pt idx="181">
                  <c:v>45.6</c:v>
                </c:pt>
                <c:pt idx="182">
                  <c:v>32.4</c:v>
                </c:pt>
                <c:pt idx="183">
                  <c:v>50.4</c:v>
                </c:pt>
                <c:pt idx="184">
                  <c:v>36</c:v>
                </c:pt>
                <c:pt idx="185">
                  <c:v>51.6</c:v>
                </c:pt>
                <c:pt idx="186">
                  <c:v>50.4</c:v>
                </c:pt>
                <c:pt idx="187">
                  <c:v>54</c:v>
                </c:pt>
                <c:pt idx="188">
                  <c:v>46.2</c:v>
                </c:pt>
                <c:pt idx="189">
                  <c:v>57</c:v>
                </c:pt>
                <c:pt idx="190">
                  <c:v>41.4</c:v>
                </c:pt>
                <c:pt idx="191">
                  <c:v>36</c:v>
                </c:pt>
                <c:pt idx="192">
                  <c:v>40.8</c:v>
                </c:pt>
                <c:pt idx="193">
                  <c:v>46.8</c:v>
                </c:pt>
                <c:pt idx="194">
                  <c:v>55.2</c:v>
                </c:pt>
                <c:pt idx="195">
                  <c:v>51</c:v>
                </c:pt>
                <c:pt idx="196">
                  <c:v>48</c:v>
                </c:pt>
                <c:pt idx="197">
                  <c:v>47.4</c:v>
                </c:pt>
                <c:pt idx="198">
                  <c:v>45</c:v>
                </c:pt>
                <c:pt idx="199">
                  <c:v>44.4</c:v>
                </c:pt>
                <c:pt idx="200">
                  <c:v>39</c:v>
                </c:pt>
                <c:pt idx="201">
                  <c:v>48.6</c:v>
                </c:pt>
              </c:numCache>
            </c:numRef>
          </c:val>
        </c:ser>
        <c:ser>
          <c:idx val="11"/>
          <c:order val="11"/>
          <c:tx>
            <c:strRef>
              <c:f>Sheet1!$M$5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Sheet1!$M$6:$M$207</c:f>
              <c:numCache>
                <c:formatCode>0%</c:formatCode>
                <c:ptCount val="202"/>
                <c:pt idx="0">
                  <c:v>1</c:v>
                </c:pt>
                <c:pt idx="1" c:formatCode="General">
                  <c:v>41.4</c:v>
                </c:pt>
                <c:pt idx="2" c:formatCode="General">
                  <c:v>33.6</c:v>
                </c:pt>
                <c:pt idx="3" c:formatCode="General">
                  <c:v>46.8</c:v>
                </c:pt>
                <c:pt idx="4" c:formatCode="General">
                  <c:v>45.6</c:v>
                </c:pt>
                <c:pt idx="5" c:formatCode="General">
                  <c:v>53.1</c:v>
                </c:pt>
                <c:pt idx="6" c:formatCode="General">
                  <c:v>53.4</c:v>
                </c:pt>
                <c:pt idx="7" c:formatCode="General">
                  <c:v>50.4</c:v>
                </c:pt>
                <c:pt idx="8" c:formatCode="General">
                  <c:v>42.6</c:v>
                </c:pt>
                <c:pt idx="9" c:formatCode="General">
                  <c:v>53.4</c:v>
                </c:pt>
                <c:pt idx="10" c:formatCode="General">
                  <c:v>0</c:v>
                </c:pt>
                <c:pt idx="11" c:formatCode="General">
                  <c:v>45.6</c:v>
                </c:pt>
                <c:pt idx="12" c:formatCode="General">
                  <c:v>51.6</c:v>
                </c:pt>
                <c:pt idx="13" c:formatCode="General">
                  <c:v>49.8</c:v>
                </c:pt>
                <c:pt idx="14" c:formatCode="General">
                  <c:v>53.4</c:v>
                </c:pt>
                <c:pt idx="15" c:formatCode="General">
                  <c:v>40.5</c:v>
                </c:pt>
                <c:pt idx="16" c:formatCode="General">
                  <c:v>43.2</c:v>
                </c:pt>
                <c:pt idx="17" c:formatCode="General">
                  <c:v>40.8</c:v>
                </c:pt>
                <c:pt idx="18" c:formatCode="General">
                  <c:v>51</c:v>
                </c:pt>
                <c:pt idx="19" c:formatCode="General">
                  <c:v>50.4</c:v>
                </c:pt>
                <c:pt idx="20" c:formatCode="General">
                  <c:v>45.6</c:v>
                </c:pt>
                <c:pt idx="21" c:formatCode="General">
                  <c:v>49.2</c:v>
                </c:pt>
                <c:pt idx="22" c:formatCode="General">
                  <c:v>46.8</c:v>
                </c:pt>
                <c:pt idx="23" c:formatCode="General">
                  <c:v>45.6</c:v>
                </c:pt>
                <c:pt idx="24" c:formatCode="General">
                  <c:v>51.6</c:v>
                </c:pt>
                <c:pt idx="25" c:formatCode="General">
                  <c:v>48.6</c:v>
                </c:pt>
                <c:pt idx="26" c:formatCode="General">
                  <c:v>52.8</c:v>
                </c:pt>
                <c:pt idx="27" c:formatCode="General">
                  <c:v>50.4</c:v>
                </c:pt>
                <c:pt idx="28" c:formatCode="General">
                  <c:v>53.4</c:v>
                </c:pt>
                <c:pt idx="29" c:formatCode="General">
                  <c:v>48.6</c:v>
                </c:pt>
                <c:pt idx="30" c:formatCode="General">
                  <c:v>48</c:v>
                </c:pt>
                <c:pt idx="31" c:formatCode="General">
                  <c:v>51.6</c:v>
                </c:pt>
                <c:pt idx="32" c:formatCode="General">
                  <c:v>52.2</c:v>
                </c:pt>
                <c:pt idx="33" c:formatCode="General">
                  <c:v>53.4</c:v>
                </c:pt>
                <c:pt idx="34" c:formatCode="General">
                  <c:v>52.2</c:v>
                </c:pt>
                <c:pt idx="35" c:formatCode="General">
                  <c:v>44.4</c:v>
                </c:pt>
                <c:pt idx="36" c:formatCode="General">
                  <c:v>47.4</c:v>
                </c:pt>
                <c:pt idx="37" c:formatCode="General">
                  <c:v>49.2</c:v>
                </c:pt>
                <c:pt idx="38" c:formatCode="General">
                  <c:v>75.8</c:v>
                </c:pt>
                <c:pt idx="39" c:formatCode="General">
                  <c:v>82.9</c:v>
                </c:pt>
                <c:pt idx="40" c:formatCode="General">
                  <c:v>72.2</c:v>
                </c:pt>
                <c:pt idx="41" c:formatCode="General">
                  <c:v>72</c:v>
                </c:pt>
                <c:pt idx="42" c:formatCode="General">
                  <c:v>69.3</c:v>
                </c:pt>
                <c:pt idx="43" c:formatCode="General">
                  <c:v>67.3</c:v>
                </c:pt>
                <c:pt idx="44" c:formatCode="General">
                  <c:v>73</c:v>
                </c:pt>
                <c:pt idx="45" c:formatCode="General">
                  <c:v>76.2</c:v>
                </c:pt>
                <c:pt idx="46" c:formatCode="General">
                  <c:v>68</c:v>
                </c:pt>
                <c:pt idx="47" c:formatCode="General">
                  <c:v>80</c:v>
                </c:pt>
                <c:pt idx="48" c:formatCode="General">
                  <c:v>72.3</c:v>
                </c:pt>
                <c:pt idx="49" c:formatCode="General">
                  <c:v>79.3</c:v>
                </c:pt>
                <c:pt idx="50" c:formatCode="General">
                  <c:v>66.3</c:v>
                </c:pt>
                <c:pt idx="51" c:formatCode="General">
                  <c:v>77.4</c:v>
                </c:pt>
                <c:pt idx="52" c:formatCode="General">
                  <c:v>84.2</c:v>
                </c:pt>
                <c:pt idx="53" c:formatCode="General">
                  <c:v>78.8</c:v>
                </c:pt>
                <c:pt idx="54" c:formatCode="General">
                  <c:v>76.2</c:v>
                </c:pt>
                <c:pt idx="55" c:formatCode="General">
                  <c:v>77.8</c:v>
                </c:pt>
                <c:pt idx="56" c:formatCode="General">
                  <c:v>75.2</c:v>
                </c:pt>
                <c:pt idx="57" c:formatCode="General">
                  <c:v>81.3</c:v>
                </c:pt>
                <c:pt idx="58" c:formatCode="General">
                  <c:v>77.4</c:v>
                </c:pt>
                <c:pt idx="59" c:formatCode="General">
                  <c:v>62.8</c:v>
                </c:pt>
                <c:pt idx="60" c:formatCode="General">
                  <c:v>75</c:v>
                </c:pt>
                <c:pt idx="61" c:formatCode="General">
                  <c:v>73.6</c:v>
                </c:pt>
                <c:pt idx="62" c:formatCode="General">
                  <c:v>75.8</c:v>
                </c:pt>
                <c:pt idx="63" c:formatCode="General">
                  <c:v>74</c:v>
                </c:pt>
                <c:pt idx="64" c:formatCode="General">
                  <c:v>65</c:v>
                </c:pt>
                <c:pt idx="65" c:formatCode="General">
                  <c:v>72.8</c:v>
                </c:pt>
                <c:pt idx="66" c:formatCode="General">
                  <c:v>79.3</c:v>
                </c:pt>
                <c:pt idx="67" c:formatCode="General">
                  <c:v>65.2</c:v>
                </c:pt>
                <c:pt idx="68" c:formatCode="General">
                  <c:v>69.8</c:v>
                </c:pt>
                <c:pt idx="69" c:formatCode="General">
                  <c:v>78.4</c:v>
                </c:pt>
                <c:pt idx="70" c:formatCode="General">
                  <c:v>67.2</c:v>
                </c:pt>
                <c:pt idx="71" c:formatCode="General">
                  <c:v>80.4</c:v>
                </c:pt>
                <c:pt idx="72" c:formatCode="General">
                  <c:v>77.4</c:v>
                </c:pt>
                <c:pt idx="73" c:formatCode="General">
                  <c:v>71.2</c:v>
                </c:pt>
                <c:pt idx="74" c:formatCode="General">
                  <c:v>79.2</c:v>
                </c:pt>
                <c:pt idx="75" c:formatCode="General">
                  <c:v>67.2</c:v>
                </c:pt>
                <c:pt idx="76" c:formatCode="General">
                  <c:v>82.8</c:v>
                </c:pt>
                <c:pt idx="77" c:formatCode="General">
                  <c:v>72.4</c:v>
                </c:pt>
                <c:pt idx="78" c:formatCode="General">
                  <c:v>77</c:v>
                </c:pt>
                <c:pt idx="79" c:formatCode="General">
                  <c:v>73.6</c:v>
                </c:pt>
                <c:pt idx="80" c:formatCode="General">
                  <c:v>86.4</c:v>
                </c:pt>
                <c:pt idx="81" c:formatCode="General">
                  <c:v>75.8</c:v>
                </c:pt>
                <c:pt idx="82" c:formatCode="General">
                  <c:v>69.4</c:v>
                </c:pt>
                <c:pt idx="83" c:formatCode="General">
                  <c:v>84</c:v>
                </c:pt>
                <c:pt idx="84" c:formatCode="General">
                  <c:v>79.2</c:v>
                </c:pt>
                <c:pt idx="85" c:formatCode="General">
                  <c:v>64.8</c:v>
                </c:pt>
                <c:pt idx="86" c:formatCode="General">
                  <c:v>78.7</c:v>
                </c:pt>
                <c:pt idx="87" c:formatCode="General">
                  <c:v>73.8</c:v>
                </c:pt>
                <c:pt idx="88" c:formatCode="General">
                  <c:v>65.8</c:v>
                </c:pt>
                <c:pt idx="89" c:formatCode="General">
                  <c:v>79.6</c:v>
                </c:pt>
                <c:pt idx="90" c:formatCode="General">
                  <c:v>81.2</c:v>
                </c:pt>
                <c:pt idx="91" c:formatCode="General">
                  <c:v>79.3</c:v>
                </c:pt>
                <c:pt idx="92" c:formatCode="General">
                  <c:v>67.2</c:v>
                </c:pt>
                <c:pt idx="93" c:formatCode="General">
                  <c:v>67</c:v>
                </c:pt>
                <c:pt idx="94" c:formatCode="General">
                  <c:v>74.6</c:v>
                </c:pt>
                <c:pt idx="95" c:formatCode="General">
                  <c:v>66.6</c:v>
                </c:pt>
                <c:pt idx="96" c:formatCode="General">
                  <c:v>76.6</c:v>
                </c:pt>
                <c:pt idx="97" c:formatCode="General">
                  <c:v>74.5</c:v>
                </c:pt>
                <c:pt idx="98" c:formatCode="General">
                  <c:v>75.9</c:v>
                </c:pt>
                <c:pt idx="99" c:formatCode="General">
                  <c:v>84</c:v>
                </c:pt>
                <c:pt idx="100" c:formatCode="General">
                  <c:v>66.6</c:v>
                </c:pt>
                <c:pt idx="101" c:formatCode="General">
                  <c:v>81.6</c:v>
                </c:pt>
                <c:pt idx="102" c:formatCode="General">
                  <c:v>70.7</c:v>
                </c:pt>
                <c:pt idx="103" c:formatCode="General">
                  <c:v>84.6</c:v>
                </c:pt>
                <c:pt idx="104" c:formatCode="General">
                  <c:v>75.9</c:v>
                </c:pt>
                <c:pt idx="105" c:formatCode="General">
                  <c:v>77.8</c:v>
                </c:pt>
                <c:pt idx="106" c:formatCode="General">
                  <c:v>82.8</c:v>
                </c:pt>
                <c:pt idx="107" c:formatCode="General">
                  <c:v>84.6</c:v>
                </c:pt>
                <c:pt idx="108" c:formatCode="General">
                  <c:v>60.4</c:v>
                </c:pt>
                <c:pt idx="109" c:formatCode="General">
                  <c:v>79.2</c:v>
                </c:pt>
                <c:pt idx="110" c:formatCode="General">
                  <c:v>77.6</c:v>
                </c:pt>
                <c:pt idx="111" c:formatCode="General">
                  <c:v>57</c:v>
                </c:pt>
                <c:pt idx="112" c:formatCode="General">
                  <c:v>66</c:v>
                </c:pt>
                <c:pt idx="113" c:formatCode="General">
                  <c:v>82.2</c:v>
                </c:pt>
                <c:pt idx="114" c:formatCode="General">
                  <c:v>64.2</c:v>
                </c:pt>
                <c:pt idx="115" c:formatCode="General">
                  <c:v>69</c:v>
                </c:pt>
                <c:pt idx="116" c:formatCode="General">
                  <c:v>76.3</c:v>
                </c:pt>
                <c:pt idx="117" c:formatCode="General">
                  <c:v>59.1</c:v>
                </c:pt>
                <c:pt idx="118" c:formatCode="General">
                  <c:v>63.2</c:v>
                </c:pt>
                <c:pt idx="119" c:formatCode="General">
                  <c:v>68.2</c:v>
                </c:pt>
                <c:pt idx="120" c:formatCode="General">
                  <c:v>74</c:v>
                </c:pt>
                <c:pt idx="121" c:formatCode="General">
                  <c:v>67</c:v>
                </c:pt>
                <c:pt idx="122" c:formatCode="General">
                  <c:v>50.5</c:v>
                </c:pt>
                <c:pt idx="123" c:formatCode="General">
                  <c:v>78</c:v>
                </c:pt>
                <c:pt idx="124" c:formatCode="General">
                  <c:v>85.2</c:v>
                </c:pt>
                <c:pt idx="125" c:formatCode="General">
                  <c:v>82.2</c:v>
                </c:pt>
                <c:pt idx="126" c:formatCode="General">
                  <c:v>70.9</c:v>
                </c:pt>
                <c:pt idx="127" c:formatCode="General">
                  <c:v>82.2</c:v>
                </c:pt>
                <c:pt idx="128" c:formatCode="General">
                  <c:v>75</c:v>
                </c:pt>
                <c:pt idx="129" c:formatCode="General">
                  <c:v>64.8</c:v>
                </c:pt>
                <c:pt idx="130" c:formatCode="General">
                  <c:v>73.7</c:v>
                </c:pt>
                <c:pt idx="131" c:formatCode="General">
                  <c:v>80.4</c:v>
                </c:pt>
                <c:pt idx="132" c:formatCode="General">
                  <c:v>60.6</c:v>
                </c:pt>
                <c:pt idx="133" c:formatCode="General">
                  <c:v>78.2</c:v>
                </c:pt>
                <c:pt idx="134" c:formatCode="General">
                  <c:v>80.2</c:v>
                </c:pt>
                <c:pt idx="135" c:formatCode="General">
                  <c:v>73.7</c:v>
                </c:pt>
                <c:pt idx="136" c:formatCode="General">
                  <c:v>74</c:v>
                </c:pt>
                <c:pt idx="137" c:formatCode="General">
                  <c:v>78.2</c:v>
                </c:pt>
                <c:pt idx="138" c:formatCode="General">
                  <c:v>60.4</c:v>
                </c:pt>
                <c:pt idx="139" c:formatCode="General">
                  <c:v>54.4</c:v>
                </c:pt>
                <c:pt idx="140" c:formatCode="General">
                  <c:v>68.6</c:v>
                </c:pt>
                <c:pt idx="141" c:formatCode="General">
                  <c:v>71.1</c:v>
                </c:pt>
                <c:pt idx="142" c:formatCode="General">
                  <c:v>71.3</c:v>
                </c:pt>
                <c:pt idx="143" c:formatCode="General">
                  <c:v>72.6</c:v>
                </c:pt>
                <c:pt idx="144" c:formatCode="General">
                  <c:v>74.6</c:v>
                </c:pt>
                <c:pt idx="145" c:formatCode="General">
                  <c:v>65.4</c:v>
                </c:pt>
                <c:pt idx="146" c:formatCode="General">
                  <c:v>62.4</c:v>
                </c:pt>
                <c:pt idx="147" c:formatCode="General">
                  <c:v>61.8</c:v>
                </c:pt>
                <c:pt idx="148" c:formatCode="General">
                  <c:v>66</c:v>
                </c:pt>
                <c:pt idx="149" c:formatCode="General">
                  <c:v>78</c:v>
                </c:pt>
                <c:pt idx="150" c:formatCode="General">
                  <c:v>82.2</c:v>
                </c:pt>
                <c:pt idx="151" c:formatCode="General">
                  <c:v>81</c:v>
                </c:pt>
                <c:pt idx="152" c:formatCode="General">
                  <c:v>83.8</c:v>
                </c:pt>
                <c:pt idx="153" c:formatCode="General">
                  <c:v>68.8</c:v>
                </c:pt>
                <c:pt idx="154" c:formatCode="General">
                  <c:v>78.5</c:v>
                </c:pt>
                <c:pt idx="155" c:formatCode="General">
                  <c:v>72.4</c:v>
                </c:pt>
                <c:pt idx="156" c:formatCode="General">
                  <c:v>66</c:v>
                </c:pt>
                <c:pt idx="157" c:formatCode="General">
                  <c:v>82.2</c:v>
                </c:pt>
                <c:pt idx="158" c:formatCode="General">
                  <c:v>73.8</c:v>
                </c:pt>
                <c:pt idx="159" c:formatCode="General">
                  <c:v>63.2</c:v>
                </c:pt>
                <c:pt idx="160" c:formatCode="General">
                  <c:v>54.8</c:v>
                </c:pt>
                <c:pt idx="161" c:formatCode="General">
                  <c:v>80.2</c:v>
                </c:pt>
                <c:pt idx="162" c:formatCode="General">
                  <c:v>69.6</c:v>
                </c:pt>
                <c:pt idx="163" c:formatCode="General">
                  <c:v>68.4</c:v>
                </c:pt>
                <c:pt idx="164" c:formatCode="General">
                  <c:v>61.8</c:v>
                </c:pt>
                <c:pt idx="165" c:formatCode="General">
                  <c:v>67.6</c:v>
                </c:pt>
                <c:pt idx="166" c:formatCode="General">
                  <c:v>72.2</c:v>
                </c:pt>
                <c:pt idx="167" c:formatCode="General">
                  <c:v>78.2</c:v>
                </c:pt>
                <c:pt idx="168" c:formatCode="General">
                  <c:v>68.4</c:v>
                </c:pt>
                <c:pt idx="169" c:formatCode="General">
                  <c:v>78.6</c:v>
                </c:pt>
                <c:pt idx="170" c:formatCode="General">
                  <c:v>78.1</c:v>
                </c:pt>
                <c:pt idx="171" c:formatCode="General">
                  <c:v>61.6</c:v>
                </c:pt>
                <c:pt idx="172" c:formatCode="General">
                  <c:v>70.8</c:v>
                </c:pt>
                <c:pt idx="173" c:formatCode="General">
                  <c:v>74.9</c:v>
                </c:pt>
                <c:pt idx="174" c:formatCode="General">
                  <c:v>55.5</c:v>
                </c:pt>
                <c:pt idx="175" c:formatCode="General">
                  <c:v>82.2</c:v>
                </c:pt>
                <c:pt idx="176" c:formatCode="General">
                  <c:v>78.6</c:v>
                </c:pt>
                <c:pt idx="177" c:formatCode="General">
                  <c:v>63.5</c:v>
                </c:pt>
                <c:pt idx="178" c:formatCode="General">
                  <c:v>64</c:v>
                </c:pt>
                <c:pt idx="179" c:formatCode="General">
                  <c:v>77.2</c:v>
                </c:pt>
                <c:pt idx="180" c:formatCode="General">
                  <c:v>77</c:v>
                </c:pt>
                <c:pt idx="181" c:formatCode="General">
                  <c:v>69.6</c:v>
                </c:pt>
                <c:pt idx="182" c:formatCode="General">
                  <c:v>49.4</c:v>
                </c:pt>
                <c:pt idx="183" c:formatCode="General">
                  <c:v>78.4</c:v>
                </c:pt>
                <c:pt idx="184" c:formatCode="General">
                  <c:v>56</c:v>
                </c:pt>
                <c:pt idx="185" c:formatCode="General">
                  <c:v>71.6</c:v>
                </c:pt>
                <c:pt idx="186" c:formatCode="General">
                  <c:v>73.4</c:v>
                </c:pt>
                <c:pt idx="187" c:formatCode="General">
                  <c:v>84</c:v>
                </c:pt>
                <c:pt idx="188" c:formatCode="General">
                  <c:v>70.2</c:v>
                </c:pt>
                <c:pt idx="189" c:formatCode="General">
                  <c:v>83</c:v>
                </c:pt>
                <c:pt idx="190" c:formatCode="General">
                  <c:v>71.4</c:v>
                </c:pt>
                <c:pt idx="191" c:formatCode="General">
                  <c:v>65</c:v>
                </c:pt>
                <c:pt idx="192" c:formatCode="General">
                  <c:v>56.8</c:v>
                </c:pt>
                <c:pt idx="193" c:formatCode="General">
                  <c:v>74.3</c:v>
                </c:pt>
                <c:pt idx="194" c:formatCode="General">
                  <c:v>85.2</c:v>
                </c:pt>
                <c:pt idx="195" c:formatCode="General">
                  <c:v>77.5</c:v>
                </c:pt>
                <c:pt idx="196" c:formatCode="General">
                  <c:v>73</c:v>
                </c:pt>
                <c:pt idx="197" c:formatCode="General">
                  <c:v>65.4</c:v>
                </c:pt>
                <c:pt idx="198" c:formatCode="General">
                  <c:v>66.5</c:v>
                </c:pt>
                <c:pt idx="199" c:formatCode="General">
                  <c:v>65.9</c:v>
                </c:pt>
                <c:pt idx="200" c:formatCode="General">
                  <c:v>61.5</c:v>
                </c:pt>
                <c:pt idx="201" c:formatCode="General">
                  <c:v>69.1</c:v>
                </c:pt>
              </c:numCache>
            </c:numRef>
          </c:val>
        </c:ser>
        <c:ser>
          <c:idx val="12"/>
          <c:order val="12"/>
          <c:tx>
            <c:strRef>
              <c:f>Sheet1!$N$5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Sheet1!$A$6:$C$208</c:f>
              <c:multiLvlStrCache>
                <c:ptCount val="203"/>
                <c:lvl>
                  <c:pt idx="0">
                    <c:v>FULL NAME</c:v>
                  </c:pt>
                  <c:pt idx="1">
                    <c:v>ANKAMAH  GABRIEL </c:v>
                  </c:pt>
                  <c:pt idx="2">
                    <c:v>ACHEAMPONG KONADU CORNELIA</c:v>
                  </c:pt>
                  <c:pt idx="3">
                    <c:v>AMOAKO COMFORT</c:v>
                  </c:pt>
                  <c:pt idx="4">
                    <c:v>OSEI PRISCILLA</c:v>
                  </c:pt>
                  <c:pt idx="5">
                    <c:v>CHRISTOPHER  MIKEHU</c:v>
                  </c:pt>
                  <c:pt idx="6">
                    <c:v>FATI  ALHASSAN</c:v>
                  </c:pt>
                  <c:pt idx="7">
                    <c:v>LYDIA  KWARTENG </c:v>
                  </c:pt>
                  <c:pt idx="8">
                    <c:v>GLORIA  AMOAH</c:v>
                  </c:pt>
                  <c:pt idx="9">
                    <c:v>BELINDA  FUACHIE</c:v>
                  </c:pt>
                  <c:pt idx="10">
                    <c:v>PAUL   GYASI</c:v>
                  </c:pt>
                  <c:pt idx="11">
                    <c:v>SARAH  BOTCHWAY</c:v>
                  </c:pt>
                  <c:pt idx="12">
                    <c:v>TAWIAH VIVIAN KORKOR</c:v>
                  </c:pt>
                  <c:pt idx="13">
                    <c:v>ROBERT ABEWIN HARUNA</c:v>
                  </c:pt>
                  <c:pt idx="14">
                    <c:v>SERWAA PRECIOUS BOAHEN</c:v>
                  </c:pt>
                  <c:pt idx="15">
                    <c:v>CHRISTABEL ADDAE FRIMPONG</c:v>
                  </c:pt>
                  <c:pt idx="16">
                    <c:v>MARGARET  ODAME</c:v>
                  </c:pt>
                  <c:pt idx="17">
                    <c:v>FIRDAUS  IDDRISS</c:v>
                  </c:pt>
                  <c:pt idx="18">
                    <c:v>AMPONSAH  DOROTHY</c:v>
                  </c:pt>
                  <c:pt idx="19">
                    <c:v>FRANCISCA  BADU</c:v>
                  </c:pt>
                  <c:pt idx="20">
                    <c:v>VERA  NYAMEKYE</c:v>
                  </c:pt>
                  <c:pt idx="21">
                    <c:v>ABIGAIL  KODUAH  TWENEBOAH </c:v>
                  </c:pt>
                  <c:pt idx="22">
                    <c:v>RASHIDATU  ALHASAN</c:v>
                  </c:pt>
                  <c:pt idx="23">
                    <c:v>SAMUELLA BONSU OWUSU</c:v>
                  </c:pt>
                  <c:pt idx="24">
                    <c:v>MILLICENT OPPONG GYEDU</c:v>
                  </c:pt>
                  <c:pt idx="25">
                    <c:v>PRISCILLA  ANIM</c:v>
                  </c:pt>
                  <c:pt idx="26">
                    <c:v>WENDY  ADOMA</c:v>
                  </c:pt>
                  <c:pt idx="27">
                    <c:v>OSEI SANDRA AGYEMANG</c:v>
                  </c:pt>
                  <c:pt idx="28">
                    <c:v>SOMAILA  MOFIDATU</c:v>
                  </c:pt>
                  <c:pt idx="29">
                    <c:v>HAFIZA  ABDULLAH</c:v>
                  </c:pt>
                  <c:pt idx="30">
                    <c:v>NDAGO DANIEL AWINZO</c:v>
                  </c:pt>
                  <c:pt idx="31">
                    <c:v>EMELIA ASE BLAY</c:v>
                  </c:pt>
                  <c:pt idx="32">
                    <c:v>AMINA   ADAMS</c:v>
                  </c:pt>
                  <c:pt idx="33">
                    <c:v>FRANCIS  WIAFE</c:v>
                  </c:pt>
                  <c:pt idx="34">
                    <c:v>NTOYA  AWUDU</c:v>
                  </c:pt>
                  <c:pt idx="35">
                    <c:v>GABRIEL  BAIDOO</c:v>
                  </c:pt>
                  <c:pt idx="36">
                    <c:v>LETICIA RICH LOVE TANO</c:v>
                  </c:pt>
                  <c:pt idx="37">
                    <c:v>AGYEMANG  SELINA</c:v>
                  </c:pt>
                  <c:pt idx="38">
                    <c:v>PRISCILLA YEBOAH OWUSU </c:v>
                  </c:pt>
                  <c:pt idx="39">
                    <c:v>MARY  OWUSU</c:v>
                  </c:pt>
                  <c:pt idx="40">
                    <c:v>DERRICK OTENG AGYEKUM</c:v>
                  </c:pt>
                  <c:pt idx="41">
                    <c:v>FRANCIS  OPUNI ASOMANING</c:v>
                  </c:pt>
                  <c:pt idx="42">
                    <c:v>MARIAN ABENA FUACHIEWAA</c:v>
                  </c:pt>
                  <c:pt idx="43">
                    <c:v>ERNESTINA  SOWAH</c:v>
                  </c:pt>
                  <c:pt idx="44">
                    <c:v>ALBERTA  AMANKWAH</c:v>
                  </c:pt>
                  <c:pt idx="45">
                    <c:v>OLIVIA NMAAH ADUKO</c:v>
                  </c:pt>
                  <c:pt idx="46">
                    <c:v>MBAWINI RISULA AWINSOGIM</c:v>
                  </c:pt>
                  <c:pt idx="47">
                    <c:v>ZUOLATU  MAMUDU</c:v>
                  </c:pt>
                  <c:pt idx="48">
                    <c:v>ALFRED  ASARE</c:v>
                  </c:pt>
                  <c:pt idx="49">
                    <c:v>MANU  PRISCILLA</c:v>
                  </c:pt>
                  <c:pt idx="50">
                    <c:v>CONSTANCE DAMPTEY</c:v>
                  </c:pt>
                  <c:pt idx="51">
                    <c:v>ANTWIWAAH   VICTORIA</c:v>
                  </c:pt>
                  <c:pt idx="52">
                    <c:v>BOATENG   DANIEL</c:v>
                  </c:pt>
                  <c:pt idx="53">
                    <c:v>ALBERTA  ANANE</c:v>
                  </c:pt>
                  <c:pt idx="54">
                    <c:v>CHARLOTTE  OWUSUWAAH</c:v>
                  </c:pt>
                  <c:pt idx="55">
                    <c:v>HENRIETTA  KWAKYEWAA</c:v>
                  </c:pt>
                  <c:pt idx="56">
                    <c:v>MAMATA  ABU</c:v>
                  </c:pt>
                  <c:pt idx="57">
                    <c:v>ADWOA  QUANSIMAH</c:v>
                  </c:pt>
                  <c:pt idx="58">
                    <c:v>SULLEY  RAMATO</c:v>
                  </c:pt>
                  <c:pt idx="59">
                    <c:v>AMOANIMAA  CECILIA </c:v>
                  </c:pt>
                  <c:pt idx="60">
                    <c:v>CHRISTABEL  NAA FOFOE PIMPONG</c:v>
                  </c:pt>
                  <c:pt idx="61">
                    <c:v>ADELAIDE TAKU OFORIWAA</c:v>
                  </c:pt>
                  <c:pt idx="62">
                    <c:v>VICTORIA   OSEI</c:v>
                  </c:pt>
                  <c:pt idx="63">
                    <c:v>ANGELA  OSEI</c:v>
                  </c:pt>
                  <c:pt idx="64">
                    <c:v>BOTCHWAY  ESTHER</c:v>
                  </c:pt>
                  <c:pt idx="65">
                    <c:v>CHARLOTTE  BOADU</c:v>
                  </c:pt>
                  <c:pt idx="66">
                    <c:v>ALFRED TETTEH ATETEANTENG</c:v>
                  </c:pt>
                  <c:pt idx="67">
                    <c:v>PATIENCE  GBLEKPOR</c:v>
                  </c:pt>
                  <c:pt idx="68">
                    <c:v>HAGAR  GYANI</c:v>
                  </c:pt>
                  <c:pt idx="69">
                    <c:v>JOSEPHINE  BOAKYE</c:v>
                  </c:pt>
                  <c:pt idx="70">
                    <c:v>DORIS  ASITOR</c:v>
                  </c:pt>
                  <c:pt idx="71">
                    <c:v>LISA ADDO SARPONG</c:v>
                  </c:pt>
                  <c:pt idx="72">
                    <c:v>MODESTA   AZURE</c:v>
                  </c:pt>
                  <c:pt idx="73">
                    <c:v>MILLICENT  MANSOH  ADJEI</c:v>
                  </c:pt>
                  <c:pt idx="74">
                    <c:v>ANTOH  LAWRENCIA</c:v>
                  </c:pt>
                  <c:pt idx="75">
                    <c:v>FATI  MUSAH</c:v>
                  </c:pt>
                  <c:pt idx="76">
                    <c:v>ERNERST   BOATENG </c:v>
                  </c:pt>
                  <c:pt idx="77">
                    <c:v>THERESAH BOASIAKO ANTWI</c:v>
                  </c:pt>
                  <c:pt idx="78">
                    <c:v>SAMUEL  ASOAH</c:v>
                  </c:pt>
                  <c:pt idx="79">
                    <c:v>PRISCA AUDREY DWOMOH</c:v>
                  </c:pt>
                  <c:pt idx="80">
                    <c:v>ANGELINA  BAWA</c:v>
                  </c:pt>
                  <c:pt idx="81">
                    <c:v>MABEL  AWUAH</c:v>
                  </c:pt>
                  <c:pt idx="82">
                    <c:v>QUEENSTER  FOSU</c:v>
                  </c:pt>
                  <c:pt idx="83">
                    <c:v>RUTH  KYEI</c:v>
                  </c:pt>
                  <c:pt idx="84">
                    <c:v>LETICIA  MENSAH</c:v>
                  </c:pt>
                  <c:pt idx="85">
                    <c:v>ANKYLE  JOSEPH </c:v>
                  </c:pt>
                  <c:pt idx="86">
                    <c:v>HANNAH  ENNIN</c:v>
                  </c:pt>
                  <c:pt idx="87">
                    <c:v>SAMIRATU AWINSO MOHAMMED </c:v>
                  </c:pt>
                  <c:pt idx="88">
                    <c:v>ABIGAIL FREMA MIREKU</c:v>
                  </c:pt>
                  <c:pt idx="89">
                    <c:v>THEOPHILUS  AGYEN AGYENIM BOATENG </c:v>
                  </c:pt>
                  <c:pt idx="90">
                    <c:v>MERCY  MENSAH</c:v>
                  </c:pt>
                  <c:pt idx="91">
                    <c:v>MILLICENT  AMPONG</c:v>
                  </c:pt>
                  <c:pt idx="92">
                    <c:v>SANDRA ANTWIWAA OSEI</c:v>
                  </c:pt>
                  <c:pt idx="93">
                    <c:v>JOHN AGYEKUM KUFFOUR CUDJOE</c:v>
                  </c:pt>
                  <c:pt idx="94">
                    <c:v>LOVE  KAKU-BLAY</c:v>
                  </c:pt>
                  <c:pt idx="95">
                    <c:v>DANIELLA  OPPONG-GYIMAH</c:v>
                  </c:pt>
                  <c:pt idx="96">
                    <c:v>FRANCIS  ADJEI</c:v>
                  </c:pt>
                  <c:pt idx="97">
                    <c:v>MABEL  GYIMAH</c:v>
                  </c:pt>
                  <c:pt idx="98">
                    <c:v>FRANCISCA  BRENYA</c:v>
                  </c:pt>
                  <c:pt idx="99">
                    <c:v>PRISCILLA  ARTHUR</c:v>
                  </c:pt>
                  <c:pt idx="100">
                    <c:v>LETICIA  BADU</c:v>
                  </c:pt>
                  <c:pt idx="101">
                    <c:v>GYAMFI SARKODIE LILIAN</c:v>
                  </c:pt>
                  <c:pt idx="102">
                    <c:v>FELICIA  OWUSU</c:v>
                  </c:pt>
                  <c:pt idx="103">
                    <c:v>HANNAH KYEREWAA OWUSU</c:v>
                  </c:pt>
                  <c:pt idx="104">
                    <c:v>FAUZIA  SHAIBU</c:v>
                  </c:pt>
                  <c:pt idx="105">
                    <c:v>JOHNSON  TANO </c:v>
                  </c:pt>
                  <c:pt idx="106">
                    <c:v>ESTHER   OWUSU</c:v>
                  </c:pt>
                  <c:pt idx="107">
                    <c:v>ANNA ANDOH OFORI</c:v>
                  </c:pt>
                  <c:pt idx="108">
                    <c:v>YUSSIF  ABUDULL</c:v>
                  </c:pt>
                  <c:pt idx="109">
                    <c:v>MAVIS  AMOH</c:v>
                  </c:pt>
                  <c:pt idx="110">
                    <c:v>SUSANA  DONKOR</c:v>
                  </c:pt>
                  <c:pt idx="111">
                    <c:v>BEATRICE  DANSO</c:v>
                  </c:pt>
                  <c:pt idx="112">
                    <c:v>SUSUNA  DOWSON</c:v>
                  </c:pt>
                  <c:pt idx="113">
                    <c:v>JOSEPH  SPENCER</c:v>
                  </c:pt>
                  <c:pt idx="114">
                    <c:v>JUDITH  ASSAW</c:v>
                  </c:pt>
                  <c:pt idx="115">
                    <c:v>AUGUSTINE  AMANING</c:v>
                  </c:pt>
                  <c:pt idx="116">
                    <c:v>NAADU  LAWSON</c:v>
                  </c:pt>
                  <c:pt idx="117">
                    <c:v>MINTAH   MAYBEL</c:v>
                  </c:pt>
                  <c:pt idx="118">
                    <c:v>SAMUEL   NYAME</c:v>
                  </c:pt>
                  <c:pt idx="119">
                    <c:v>LORRETTA  DONKOR</c:v>
                  </c:pt>
                  <c:pt idx="120">
                    <c:v>MATILDA  COFFIE</c:v>
                  </c:pt>
                  <c:pt idx="121">
                    <c:v>JULIANA  ARHIN</c:v>
                  </c:pt>
                  <c:pt idx="122">
                    <c:v>BANNOR  GRACE</c:v>
                  </c:pt>
                  <c:pt idx="123">
                    <c:v>ISHMAELLINA   KANKAH </c:v>
                  </c:pt>
                  <c:pt idx="124">
                    <c:v>LAWRENCIA  DONKOR</c:v>
                  </c:pt>
                  <c:pt idx="125">
                    <c:v>STEPHANIE  BOATENG</c:v>
                  </c:pt>
                  <c:pt idx="126">
                    <c:v>OPHELIA  FUACHIE</c:v>
                  </c:pt>
                  <c:pt idx="127">
                    <c:v>THEODORA  ANOKYE</c:v>
                  </c:pt>
                  <c:pt idx="128">
                    <c:v>MENSAH SERWAA BERNICE</c:v>
                  </c:pt>
                  <c:pt idx="129">
                    <c:v>ADAMS  OWOSU</c:v>
                  </c:pt>
                  <c:pt idx="130">
                    <c:v>JESSICA   ANNAN</c:v>
                  </c:pt>
                  <c:pt idx="131">
                    <c:v>FLORENCE   SARKODIE</c:v>
                  </c:pt>
                  <c:pt idx="132">
                    <c:v>HARUNA SADIYA  PAYAN</c:v>
                  </c:pt>
                  <c:pt idx="133">
                    <c:v>RACHEAL  NIMOH</c:v>
                  </c:pt>
                  <c:pt idx="134">
                    <c:v>BENJAMIN FOBIH BAMPOE</c:v>
                  </c:pt>
                  <c:pt idx="135">
                    <c:v>ANNE ABENA ADAMS</c:v>
                  </c:pt>
                  <c:pt idx="136">
                    <c:v>JANET   BINNYA</c:v>
                  </c:pt>
                  <c:pt idx="137">
                    <c:v>CONSTANCE ADUTWUMWAA FOKUO</c:v>
                  </c:pt>
                  <c:pt idx="138">
                    <c:v>ASSUMPTHA  ARMAH</c:v>
                  </c:pt>
                  <c:pt idx="139">
                    <c:v>RUTH  BOABENG</c:v>
                  </c:pt>
                  <c:pt idx="140">
                    <c:v>CECILIA  KWOFIE</c:v>
                  </c:pt>
                  <c:pt idx="141">
                    <c:v>DUFIE DOREEN AKUA</c:v>
                  </c:pt>
                  <c:pt idx="142">
                    <c:v>ADAMS  BOAKYE YIADOM</c:v>
                  </c:pt>
                  <c:pt idx="143">
                    <c:v>MIRIAM  PREMPEH</c:v>
                  </c:pt>
                  <c:pt idx="144">
                    <c:v>SARAH  OPOKU</c:v>
                  </c:pt>
                  <c:pt idx="145">
                    <c:v>PATRICK KWAKU KWARTENG</c:v>
                  </c:pt>
                  <c:pt idx="146">
                    <c:v>BONSU AMA SERWAA</c:v>
                  </c:pt>
                  <c:pt idx="147">
                    <c:v>JANET  NTAADU</c:v>
                  </c:pt>
                  <c:pt idx="148">
                    <c:v>LINA  DANKWAH</c:v>
                  </c:pt>
                  <c:pt idx="149">
                    <c:v>MABEL  AFFUL</c:v>
                  </c:pt>
                  <c:pt idx="150">
                    <c:v>JOSEPHINE  APPIAH</c:v>
                  </c:pt>
                  <c:pt idx="151">
                    <c:v>ESTHER   OWUSU-ASANTE </c:v>
                  </c:pt>
                  <c:pt idx="152">
                    <c:v>COMFORT   APPIAH</c:v>
                  </c:pt>
                  <c:pt idx="153">
                    <c:v>JAMES  ACHEAMPONG</c:v>
                  </c:pt>
                  <c:pt idx="154">
                    <c:v>ELIZABETH  AVOBILLA</c:v>
                  </c:pt>
                  <c:pt idx="155">
                    <c:v>SALAMATU  ABUBAKAR</c:v>
                  </c:pt>
                  <c:pt idx="156">
                    <c:v>OWUSU  SABINA</c:v>
                  </c:pt>
                  <c:pt idx="157">
                    <c:v>GLADYS  ADJEI</c:v>
                  </c:pt>
                  <c:pt idx="158">
                    <c:v>ABIGAIL  AMOAH</c:v>
                  </c:pt>
                  <c:pt idx="159">
                    <c:v>LINDA  DARKOWAA</c:v>
                  </c:pt>
                  <c:pt idx="160">
                    <c:v>MENSAH   FRANCISCA </c:v>
                  </c:pt>
                  <c:pt idx="161">
                    <c:v>PAUL  BIOH</c:v>
                  </c:pt>
                  <c:pt idx="162">
                    <c:v>LYDIA  AMANYANSA</c:v>
                  </c:pt>
                  <c:pt idx="163">
                    <c:v>NKRUMAH  EMMANUEL</c:v>
                  </c:pt>
                  <c:pt idx="164">
                    <c:v>AUGUSTINA  SAKYI</c:v>
                  </c:pt>
                  <c:pt idx="165">
                    <c:v>BELINDA  ADJEI</c:v>
                  </c:pt>
                  <c:pt idx="166">
                    <c:v>EUNICE   AWUKU</c:v>
                  </c:pt>
                  <c:pt idx="167">
                    <c:v>DZIDODO EWEONAM RITA</c:v>
                  </c:pt>
                  <c:pt idx="168">
                    <c:v>FELICITY  AIDOO</c:v>
                  </c:pt>
                  <c:pt idx="169">
                    <c:v>BAIDOO  PRISCILLA </c:v>
                  </c:pt>
                  <c:pt idx="170">
                    <c:v>AMANKWAH  ABIGAIL</c:v>
                  </c:pt>
                  <c:pt idx="171">
                    <c:v>PORTIA  ASIEDU</c:v>
                  </c:pt>
                  <c:pt idx="172">
                    <c:v>GRACE KUFFOUR OSEI</c:v>
                  </c:pt>
                  <c:pt idx="173">
                    <c:v>MAVIS  ANSAH  OWUSU</c:v>
                  </c:pt>
                  <c:pt idx="174">
                    <c:v>CECILIA   ADOM</c:v>
                  </c:pt>
                  <c:pt idx="175">
                    <c:v>ELLEN  AGYEIWAA</c:v>
                  </c:pt>
                  <c:pt idx="176">
                    <c:v>RITA  SAKYI</c:v>
                  </c:pt>
                  <c:pt idx="177">
                    <c:v>CATHERINE  DEBRAH</c:v>
                  </c:pt>
                  <c:pt idx="178">
                    <c:v>LETICIA  DONKOR</c:v>
                  </c:pt>
                  <c:pt idx="179">
                    <c:v>WESLEY  FUACHIE</c:v>
                  </c:pt>
                  <c:pt idx="180">
                    <c:v>PATRICIA  AKPABLI</c:v>
                  </c:pt>
                  <c:pt idx="181">
                    <c:v>ANGELINA   BAIDOO</c:v>
                  </c:pt>
                  <c:pt idx="182">
                    <c:v>AUGUSTA  AMPONSAH</c:v>
                  </c:pt>
                  <c:pt idx="183">
                    <c:v>AGYEIWAA  GLORIA</c:v>
                  </c:pt>
                  <c:pt idx="184">
                    <c:v>SULEYMAN  ZELIA</c:v>
                  </c:pt>
                  <c:pt idx="185">
                    <c:v>PRINCE  BOADU</c:v>
                  </c:pt>
                  <c:pt idx="186">
                    <c:v>THERESAH  AKOMA</c:v>
                  </c:pt>
                  <c:pt idx="187">
                    <c:v>PHILIPPINE  YEBOAH</c:v>
                  </c:pt>
                  <c:pt idx="188">
                    <c:v>ADUSEI ASANTEWAA ABIGAIL</c:v>
                  </c:pt>
                  <c:pt idx="189">
                    <c:v>DANIEL  ANSAH AMOASI</c:v>
                  </c:pt>
                  <c:pt idx="190">
                    <c:v>FREDERICK ASAMOAH GYAN</c:v>
                  </c:pt>
                  <c:pt idx="191">
                    <c:v>ROSINA ESSINAM AFUKEY</c:v>
                  </c:pt>
                  <c:pt idx="192">
                    <c:v>DENIS   BAIDOO</c:v>
                  </c:pt>
                  <c:pt idx="193">
                    <c:v>GRACE AMO SERWAA</c:v>
                  </c:pt>
                  <c:pt idx="194">
                    <c:v>JACQUELINE ASANTE APPIAH</c:v>
                  </c:pt>
                  <c:pt idx="195">
                    <c:v>KENNEDY KWAKU OHENE DUAH</c:v>
                  </c:pt>
                  <c:pt idx="196">
                    <c:v>ELIZABETH  AMABILA</c:v>
                  </c:pt>
                  <c:pt idx="197">
                    <c:v>BLAISE  GANDIIBU</c:v>
                  </c:pt>
                  <c:pt idx="198">
                    <c:v>AMINU  ZAKARI</c:v>
                  </c:pt>
                  <c:pt idx="199">
                    <c:v>OPHELIA  YEBOAH</c:v>
                  </c:pt>
                  <c:pt idx="200">
                    <c:v>EMMANUEL  AKWABOAH</c:v>
                  </c:pt>
                  <c:pt idx="201">
                    <c:v>ABORAH   GIDEON </c:v>
                  </c:pt>
                </c:lvl>
                <c:lvl>
                  <c:pt idx="0">
                    <c:v>INDEX NUMBER</c:v>
                  </c:pt>
                  <c:pt idx="1">
                    <c:v>COHSARGN220072</c:v>
                  </c:pt>
                  <c:pt idx="2">
                    <c:v>COHSARGN220108</c:v>
                  </c:pt>
                  <c:pt idx="3">
                    <c:v>COHSARGN220250</c:v>
                  </c:pt>
                  <c:pt idx="4">
                    <c:v>COHSARGN220260</c:v>
                  </c:pt>
                  <c:pt idx="5">
                    <c:v>COHSARGN230001</c:v>
                  </c:pt>
                  <c:pt idx="6">
                    <c:v>COHSARGN230002</c:v>
                  </c:pt>
                  <c:pt idx="7">
                    <c:v>COHSARGN230003</c:v>
                  </c:pt>
                  <c:pt idx="8">
                    <c:v>COHSARGN230004</c:v>
                  </c:pt>
                  <c:pt idx="9">
                    <c:v>COHSARGN230005</c:v>
                  </c:pt>
                  <c:pt idx="10">
                    <c:v>COHSARGN230007</c:v>
                  </c:pt>
                  <c:pt idx="11">
                    <c:v>COHSARGN230008</c:v>
                  </c:pt>
                  <c:pt idx="12">
                    <c:v>COHSARGN230009</c:v>
                  </c:pt>
                  <c:pt idx="13">
                    <c:v>COHSARGN230010</c:v>
                  </c:pt>
                  <c:pt idx="14">
                    <c:v>COHSARGN230011</c:v>
                  </c:pt>
                  <c:pt idx="15">
                    <c:v>COHSARGN230012</c:v>
                  </c:pt>
                  <c:pt idx="16">
                    <c:v>COHSARGN230013</c:v>
                  </c:pt>
                  <c:pt idx="17">
                    <c:v>COHSARGN230014</c:v>
                  </c:pt>
                  <c:pt idx="18">
                    <c:v>COHSARGN230015</c:v>
                  </c:pt>
                  <c:pt idx="19">
                    <c:v>COHSARGN230017</c:v>
                  </c:pt>
                  <c:pt idx="20">
                    <c:v>COHSARGN230018</c:v>
                  </c:pt>
                  <c:pt idx="21">
                    <c:v>COHSARGN230019</c:v>
                  </c:pt>
                  <c:pt idx="22">
                    <c:v>COHSARGN230020</c:v>
                  </c:pt>
                  <c:pt idx="23">
                    <c:v>COHSARGN230021</c:v>
                  </c:pt>
                  <c:pt idx="24">
                    <c:v>COHSARGN230022</c:v>
                  </c:pt>
                  <c:pt idx="25">
                    <c:v>COHSARGN230023</c:v>
                  </c:pt>
                  <c:pt idx="26">
                    <c:v>COHSARGN230024</c:v>
                  </c:pt>
                  <c:pt idx="27">
                    <c:v>COHSARGN230025</c:v>
                  </c:pt>
                  <c:pt idx="28">
                    <c:v>COHSARGN230026</c:v>
                  </c:pt>
                  <c:pt idx="29">
                    <c:v>COHSARGN230027</c:v>
                  </c:pt>
                  <c:pt idx="30">
                    <c:v>COHSARGN230028</c:v>
                  </c:pt>
                  <c:pt idx="31">
                    <c:v>COHSARGN230029</c:v>
                  </c:pt>
                  <c:pt idx="32">
                    <c:v>COHSARGN230030</c:v>
                  </c:pt>
                  <c:pt idx="33">
                    <c:v>COHSARGN230031</c:v>
                  </c:pt>
                  <c:pt idx="34">
                    <c:v>COHSARGN230032</c:v>
                  </c:pt>
                  <c:pt idx="35">
                    <c:v>COHSARGN230033</c:v>
                  </c:pt>
                  <c:pt idx="36">
                    <c:v>COHSARGN230034</c:v>
                  </c:pt>
                  <c:pt idx="37">
                    <c:v>COHSARGN230036</c:v>
                  </c:pt>
                  <c:pt idx="38">
                    <c:v>COHSARGN230037</c:v>
                  </c:pt>
                  <c:pt idx="39">
                    <c:v>COHSARGN230039</c:v>
                  </c:pt>
                  <c:pt idx="40">
                    <c:v>COHSARGN230040</c:v>
                  </c:pt>
                  <c:pt idx="41">
                    <c:v>COHSARGN230041</c:v>
                  </c:pt>
                  <c:pt idx="42">
                    <c:v>COHSARGN230042</c:v>
                  </c:pt>
                  <c:pt idx="43">
                    <c:v>COHSARGN230043</c:v>
                  </c:pt>
                  <c:pt idx="44">
                    <c:v>COHSARGN230044</c:v>
                  </c:pt>
                  <c:pt idx="45">
                    <c:v>COHSARGN230045</c:v>
                  </c:pt>
                  <c:pt idx="46">
                    <c:v>COHSARGN230047</c:v>
                  </c:pt>
                  <c:pt idx="47">
                    <c:v>COHSARGN230048</c:v>
                  </c:pt>
                  <c:pt idx="48">
                    <c:v>COHSARGN230049</c:v>
                  </c:pt>
                  <c:pt idx="49">
                    <c:v>COHSARGN230050</c:v>
                  </c:pt>
                  <c:pt idx="50">
                    <c:v>COHSARGN230051</c:v>
                  </c:pt>
                  <c:pt idx="51">
                    <c:v>COHSARGN230052</c:v>
                  </c:pt>
                  <c:pt idx="52">
                    <c:v>COHSARGN230053</c:v>
                  </c:pt>
                  <c:pt idx="53">
                    <c:v>COHSARGN230054</c:v>
                  </c:pt>
                  <c:pt idx="54">
                    <c:v>COHSARGN230055</c:v>
                  </c:pt>
                  <c:pt idx="55">
                    <c:v>COHSARGN230056</c:v>
                  </c:pt>
                  <c:pt idx="56">
                    <c:v>COHSARGN230057</c:v>
                  </c:pt>
                  <c:pt idx="57">
                    <c:v>COHSARGN230058</c:v>
                  </c:pt>
                  <c:pt idx="58">
                    <c:v>COHSARGN230059</c:v>
                  </c:pt>
                  <c:pt idx="59">
                    <c:v>COHSARGN230060</c:v>
                  </c:pt>
                  <c:pt idx="60">
                    <c:v>COHSARGN230061</c:v>
                  </c:pt>
                  <c:pt idx="61">
                    <c:v>COHSARGN230062</c:v>
                  </c:pt>
                  <c:pt idx="62">
                    <c:v>COHSARGN230063</c:v>
                  </c:pt>
                  <c:pt idx="63">
                    <c:v>COHSARGN230064</c:v>
                  </c:pt>
                  <c:pt idx="64">
                    <c:v>COHSARGN230065</c:v>
                  </c:pt>
                  <c:pt idx="65">
                    <c:v>COHSARGN230066</c:v>
                  </c:pt>
                  <c:pt idx="66">
                    <c:v>COHSARGN230067</c:v>
                  </c:pt>
                  <c:pt idx="67">
                    <c:v>COHSARGN230068</c:v>
                  </c:pt>
                  <c:pt idx="68">
                    <c:v>COHSARGN230069</c:v>
                  </c:pt>
                  <c:pt idx="69">
                    <c:v>COHSARGN230070</c:v>
                  </c:pt>
                  <c:pt idx="70">
                    <c:v>COHSARGN230071</c:v>
                  </c:pt>
                  <c:pt idx="71">
                    <c:v>COHSARGN230072</c:v>
                  </c:pt>
                  <c:pt idx="72">
                    <c:v>COHSARGN230073</c:v>
                  </c:pt>
                  <c:pt idx="73">
                    <c:v>COHSARGN230074</c:v>
                  </c:pt>
                  <c:pt idx="74">
                    <c:v>COHSARGN230075</c:v>
                  </c:pt>
                  <c:pt idx="75">
                    <c:v>COHSARGN230076</c:v>
                  </c:pt>
                  <c:pt idx="76">
                    <c:v>COHSARGN230077</c:v>
                  </c:pt>
                  <c:pt idx="77">
                    <c:v>COHSARGN230078</c:v>
                  </c:pt>
                  <c:pt idx="78">
                    <c:v>COHSARGN230079</c:v>
                  </c:pt>
                  <c:pt idx="79">
                    <c:v>COHSARGN230080</c:v>
                  </c:pt>
                  <c:pt idx="80">
                    <c:v>COHSARGN230081</c:v>
                  </c:pt>
                  <c:pt idx="81">
                    <c:v>COHSARGN230082</c:v>
                  </c:pt>
                  <c:pt idx="82">
                    <c:v>COHSARGN230084</c:v>
                  </c:pt>
                  <c:pt idx="83">
                    <c:v>COHSARGN230085</c:v>
                  </c:pt>
                  <c:pt idx="84">
                    <c:v>COHSARGN230087</c:v>
                  </c:pt>
                  <c:pt idx="85">
                    <c:v>COHSARGN230088</c:v>
                  </c:pt>
                  <c:pt idx="86">
                    <c:v>COHSARGN230089</c:v>
                  </c:pt>
                  <c:pt idx="87">
                    <c:v>COHSARGN230090</c:v>
                  </c:pt>
                  <c:pt idx="88">
                    <c:v>COHSARGN230091</c:v>
                  </c:pt>
                  <c:pt idx="89">
                    <c:v>COHSARGN230092</c:v>
                  </c:pt>
                  <c:pt idx="90">
                    <c:v>COHSARGN230093</c:v>
                  </c:pt>
                  <c:pt idx="91">
                    <c:v>COHSARGN230094</c:v>
                  </c:pt>
                  <c:pt idx="92">
                    <c:v>COHSARGN230097</c:v>
                  </c:pt>
                  <c:pt idx="93">
                    <c:v>COHSARGN230098</c:v>
                  </c:pt>
                  <c:pt idx="94">
                    <c:v>COHSARGN230099</c:v>
                  </c:pt>
                  <c:pt idx="95">
                    <c:v>COHSARGN230100</c:v>
                  </c:pt>
                  <c:pt idx="96">
                    <c:v>COHSARGN230101</c:v>
                  </c:pt>
                  <c:pt idx="97">
                    <c:v>COHSARGN230102</c:v>
                  </c:pt>
                  <c:pt idx="98">
                    <c:v>COHSARGN230103</c:v>
                  </c:pt>
                  <c:pt idx="99">
                    <c:v>COHSARGN230104</c:v>
                  </c:pt>
                  <c:pt idx="100">
                    <c:v>COHSARGN230105</c:v>
                  </c:pt>
                  <c:pt idx="101">
                    <c:v>COHSARGN230107</c:v>
                  </c:pt>
                  <c:pt idx="102">
                    <c:v>COHSARGN230108</c:v>
                  </c:pt>
                  <c:pt idx="103">
                    <c:v>COHSARGN230109</c:v>
                  </c:pt>
                  <c:pt idx="104">
                    <c:v>COHSARGN230110</c:v>
                  </c:pt>
                  <c:pt idx="105">
                    <c:v>COHSARGN230111</c:v>
                  </c:pt>
                  <c:pt idx="106">
                    <c:v>COHSARGN230112</c:v>
                  </c:pt>
                  <c:pt idx="107">
                    <c:v>COHSARGN230113</c:v>
                  </c:pt>
                  <c:pt idx="108">
                    <c:v>COHSARGN230114</c:v>
                  </c:pt>
                  <c:pt idx="109">
                    <c:v>COHSARGN230116</c:v>
                  </c:pt>
                  <c:pt idx="110">
                    <c:v>COHSARGN230117</c:v>
                  </c:pt>
                  <c:pt idx="111">
                    <c:v>COHSARGN230118</c:v>
                  </c:pt>
                  <c:pt idx="112">
                    <c:v>COHSARGN230119</c:v>
                  </c:pt>
                  <c:pt idx="113">
                    <c:v>COHSARGN230122</c:v>
                  </c:pt>
                  <c:pt idx="114">
                    <c:v>COHSARGN230123</c:v>
                  </c:pt>
                  <c:pt idx="115">
                    <c:v>COHSARGN230124</c:v>
                  </c:pt>
                  <c:pt idx="116">
                    <c:v>COHSARGN230125</c:v>
                  </c:pt>
                  <c:pt idx="117">
                    <c:v>COHSARGN230126</c:v>
                  </c:pt>
                  <c:pt idx="118">
                    <c:v>COHSARGN230127</c:v>
                  </c:pt>
                  <c:pt idx="119">
                    <c:v>COHSARGN230128</c:v>
                  </c:pt>
                  <c:pt idx="120">
                    <c:v>COHSARGN230129</c:v>
                  </c:pt>
                  <c:pt idx="121">
                    <c:v>COHSARGN230130</c:v>
                  </c:pt>
                  <c:pt idx="122">
                    <c:v>COHSARGN230131</c:v>
                  </c:pt>
                  <c:pt idx="123">
                    <c:v>COHSARGN230132</c:v>
                  </c:pt>
                  <c:pt idx="124">
                    <c:v>COHSARGN230133</c:v>
                  </c:pt>
                  <c:pt idx="125">
                    <c:v>COHSARGN230134</c:v>
                  </c:pt>
                  <c:pt idx="126">
                    <c:v>COHSARGN230135</c:v>
                  </c:pt>
                  <c:pt idx="127">
                    <c:v>COHSARGN230136</c:v>
                  </c:pt>
                  <c:pt idx="128">
                    <c:v>COHSARGN230137</c:v>
                  </c:pt>
                  <c:pt idx="129">
                    <c:v>COHSARGN230138</c:v>
                  </c:pt>
                  <c:pt idx="130">
                    <c:v>COHSARGN230139</c:v>
                  </c:pt>
                  <c:pt idx="131">
                    <c:v>COHSARGN230140</c:v>
                  </c:pt>
                  <c:pt idx="132">
                    <c:v>COHSARGN230141</c:v>
                  </c:pt>
                  <c:pt idx="133">
                    <c:v>COHSARGN230142</c:v>
                  </c:pt>
                  <c:pt idx="134">
                    <c:v>COHSARGN230143</c:v>
                  </c:pt>
                  <c:pt idx="135">
                    <c:v>COHSARGN230144</c:v>
                  </c:pt>
                  <c:pt idx="136">
                    <c:v>COHSARGN230145</c:v>
                  </c:pt>
                  <c:pt idx="137">
                    <c:v>COHSARGN230146</c:v>
                  </c:pt>
                  <c:pt idx="138">
                    <c:v>COHSARGN230147</c:v>
                  </c:pt>
                  <c:pt idx="139">
                    <c:v>COHSARGN230148</c:v>
                  </c:pt>
                  <c:pt idx="140">
                    <c:v>COHSARGN230150</c:v>
                  </c:pt>
                  <c:pt idx="141">
                    <c:v>COHSARGN230151</c:v>
                  </c:pt>
                  <c:pt idx="142">
                    <c:v>COHSARGN230152</c:v>
                  </c:pt>
                  <c:pt idx="143">
                    <c:v>COHSARGN230153</c:v>
                  </c:pt>
                  <c:pt idx="144">
                    <c:v>COHSARGN230156</c:v>
                  </c:pt>
                  <c:pt idx="145">
                    <c:v>COHSARGN230158</c:v>
                  </c:pt>
                  <c:pt idx="146">
                    <c:v>COHSARGN230161</c:v>
                  </c:pt>
                  <c:pt idx="147">
                    <c:v>COHSARGN230162</c:v>
                  </c:pt>
                  <c:pt idx="148">
                    <c:v>COHSARGN230163</c:v>
                  </c:pt>
                  <c:pt idx="149">
                    <c:v>COHSARGN230164</c:v>
                  </c:pt>
                  <c:pt idx="150">
                    <c:v>COHSARGN230165</c:v>
                  </c:pt>
                  <c:pt idx="151">
                    <c:v>COHSARGN230166</c:v>
                  </c:pt>
                  <c:pt idx="152">
                    <c:v>COHSARGN230167</c:v>
                  </c:pt>
                  <c:pt idx="153">
                    <c:v>COHSARGN230168</c:v>
                  </c:pt>
                  <c:pt idx="154">
                    <c:v>COHSARGN230169</c:v>
                  </c:pt>
                  <c:pt idx="155">
                    <c:v>COHSARGN230170</c:v>
                  </c:pt>
                  <c:pt idx="156">
                    <c:v>COHSARGN230171</c:v>
                  </c:pt>
                  <c:pt idx="157">
                    <c:v>COHSARGN230172</c:v>
                  </c:pt>
                  <c:pt idx="158">
                    <c:v>COHSARGN230173</c:v>
                  </c:pt>
                  <c:pt idx="159">
                    <c:v>COHSARGN230174</c:v>
                  </c:pt>
                  <c:pt idx="160">
                    <c:v>COHSARGN230175</c:v>
                  </c:pt>
                  <c:pt idx="161">
                    <c:v>COHSARGN230177</c:v>
                  </c:pt>
                  <c:pt idx="162">
                    <c:v>COHSARGN230178</c:v>
                  </c:pt>
                  <c:pt idx="163">
                    <c:v>COHSARGN230179</c:v>
                  </c:pt>
                  <c:pt idx="164">
                    <c:v>COHSARGN230180</c:v>
                  </c:pt>
                  <c:pt idx="165">
                    <c:v>COHSARGN230182</c:v>
                  </c:pt>
                  <c:pt idx="166">
                    <c:v>COHSARGN230183</c:v>
                  </c:pt>
                  <c:pt idx="167">
                    <c:v>COHSARGN230184</c:v>
                  </c:pt>
                  <c:pt idx="168">
                    <c:v>COHSARGN230185</c:v>
                  </c:pt>
                  <c:pt idx="169">
                    <c:v>COHSARGN230186</c:v>
                  </c:pt>
                  <c:pt idx="170">
                    <c:v>COHSARGN230188</c:v>
                  </c:pt>
                  <c:pt idx="171">
                    <c:v>COHSARGN230189</c:v>
                  </c:pt>
                  <c:pt idx="172">
                    <c:v>COHSARGN230190</c:v>
                  </c:pt>
                  <c:pt idx="173">
                    <c:v>COHSARGN230191</c:v>
                  </c:pt>
                  <c:pt idx="174">
                    <c:v>COHSARGN230192</c:v>
                  </c:pt>
                  <c:pt idx="175">
                    <c:v>COHSARGN230193</c:v>
                  </c:pt>
                  <c:pt idx="176">
                    <c:v>COHSARGN230194</c:v>
                  </c:pt>
                  <c:pt idx="177">
                    <c:v>COHSARGN230195</c:v>
                  </c:pt>
                  <c:pt idx="178">
                    <c:v>COHSARGN230196</c:v>
                  </c:pt>
                  <c:pt idx="179">
                    <c:v>COHSARGN230197</c:v>
                  </c:pt>
                  <c:pt idx="180">
                    <c:v>COHSARGN230198</c:v>
                  </c:pt>
                  <c:pt idx="181">
                    <c:v>COHSARGN230199</c:v>
                  </c:pt>
                  <c:pt idx="182">
                    <c:v>COHSARGN230200</c:v>
                  </c:pt>
                  <c:pt idx="183">
                    <c:v>COHSARGN230201</c:v>
                  </c:pt>
                  <c:pt idx="184">
                    <c:v>COHSARGN230202</c:v>
                  </c:pt>
                  <c:pt idx="185">
                    <c:v>COHSARGN23O203</c:v>
                  </c:pt>
                  <c:pt idx="186">
                    <c:v>COHSARGN230204</c:v>
                  </c:pt>
                  <c:pt idx="187">
                    <c:v>COHSARGN230205</c:v>
                  </c:pt>
                  <c:pt idx="188">
                    <c:v>COHSARGN230206</c:v>
                  </c:pt>
                  <c:pt idx="189">
                    <c:v>COHSARGN230207</c:v>
                  </c:pt>
                  <c:pt idx="190">
                    <c:v>COHSARGN230210</c:v>
                  </c:pt>
                  <c:pt idx="191">
                    <c:v>COHSARGN230211</c:v>
                  </c:pt>
                  <c:pt idx="192">
                    <c:v>COHSARGN230212</c:v>
                  </c:pt>
                  <c:pt idx="193">
                    <c:v>COHSARGN230214</c:v>
                  </c:pt>
                  <c:pt idx="194">
                    <c:v>COHSARGN230215</c:v>
                  </c:pt>
                  <c:pt idx="195">
                    <c:v>COHSARGN230216</c:v>
                  </c:pt>
                  <c:pt idx="196">
                    <c:v>COHSARGN230217</c:v>
                  </c:pt>
                  <c:pt idx="197">
                    <c:v>COHSARGN230219</c:v>
                  </c:pt>
                  <c:pt idx="198">
                    <c:v>COHSARGN230220</c:v>
                  </c:pt>
                  <c:pt idx="199">
                    <c:v>COHSARGN230221</c:v>
                  </c:pt>
                  <c:pt idx="200">
                    <c:v>COHSARGN230222</c:v>
                  </c:pt>
                  <c:pt idx="201">
                    <c:v>COHSARGN230223</c:v>
                  </c:pt>
                </c:lvl>
                <c:lvl>
                  <c:pt idx="0">
                    <c:v>S/N</c:v>
                  </c:pt>
                  <c:pt idx="3">
                    <c:v>1</c:v>
                  </c:pt>
                  <c:pt idx="5">
                    <c:v>3</c:v>
                  </c:pt>
                  <c:pt idx="6">
                    <c:v>4</c:v>
                  </c:pt>
                  <c:pt idx="7">
                    <c:v>5</c:v>
                  </c:pt>
                  <c:pt idx="8">
                    <c:v>6</c:v>
                  </c:pt>
                  <c:pt idx="9">
                    <c:v>7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15">
                    <c:v>14</c:v>
                  </c:pt>
                  <c:pt idx="16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  <c:pt idx="32">
                    <c:v>32</c:v>
                  </c:pt>
                  <c:pt idx="33">
                    <c:v>33</c:v>
                  </c:pt>
                  <c:pt idx="34">
                    <c:v>34</c:v>
                  </c:pt>
                  <c:pt idx="35">
                    <c:v>35</c:v>
                  </c:pt>
                  <c:pt idx="36">
                    <c:v>36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1">
                    <c:v>51</c:v>
                  </c:pt>
                  <c:pt idx="52">
                    <c:v>52</c:v>
                  </c:pt>
                  <c:pt idx="53">
                    <c:v>53</c:v>
                  </c:pt>
                  <c:pt idx="54">
                    <c:v>54</c:v>
                  </c:pt>
                  <c:pt idx="55">
                    <c:v>55</c:v>
                  </c:pt>
                  <c:pt idx="56">
                    <c:v>56</c:v>
                  </c:pt>
                  <c:pt idx="57">
                    <c:v>57</c:v>
                  </c:pt>
                  <c:pt idx="58">
                    <c:v>58</c:v>
                  </c:pt>
                  <c:pt idx="59">
                    <c:v>59</c:v>
                  </c:pt>
                  <c:pt idx="60">
                    <c:v>60</c:v>
                  </c:pt>
                  <c:pt idx="61">
                    <c:v>61</c:v>
                  </c:pt>
                  <c:pt idx="62">
                    <c:v>62</c:v>
                  </c:pt>
                  <c:pt idx="63">
                    <c:v>63</c:v>
                  </c:pt>
                  <c:pt idx="64">
                    <c:v>64</c:v>
                  </c:pt>
                  <c:pt idx="65">
                    <c:v>65</c:v>
                  </c:pt>
                  <c:pt idx="66">
                    <c:v>66</c:v>
                  </c:pt>
                  <c:pt idx="67">
                    <c:v>67</c:v>
                  </c:pt>
                  <c:pt idx="68">
                    <c:v>68</c:v>
                  </c:pt>
                  <c:pt idx="69">
                    <c:v>69</c:v>
                  </c:pt>
                  <c:pt idx="70">
                    <c:v>70</c:v>
                  </c:pt>
                  <c:pt idx="71">
                    <c:v>71</c:v>
                  </c:pt>
                  <c:pt idx="72">
                    <c:v>72</c:v>
                  </c:pt>
                  <c:pt idx="73">
                    <c:v>73</c:v>
                  </c:pt>
                  <c:pt idx="74">
                    <c:v>74</c:v>
                  </c:pt>
                  <c:pt idx="75">
                    <c:v>75</c:v>
                  </c:pt>
                  <c:pt idx="76">
                    <c:v>76</c:v>
                  </c:pt>
                  <c:pt idx="77">
                    <c:v>77</c:v>
                  </c:pt>
                  <c:pt idx="78">
                    <c:v>78</c:v>
                  </c:pt>
                  <c:pt idx="79">
                    <c:v>79</c:v>
                  </c:pt>
                  <c:pt idx="80">
                    <c:v>80</c:v>
                  </c:pt>
                  <c:pt idx="81">
                    <c:v>81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94</c:v>
                  </c:pt>
                  <c:pt idx="93">
                    <c:v>95</c:v>
                  </c:pt>
                  <c:pt idx="94">
                    <c:v>96</c:v>
                  </c:pt>
                  <c:pt idx="95">
                    <c:v>97</c:v>
                  </c:pt>
                  <c:pt idx="96">
                    <c:v>98</c:v>
                  </c:pt>
                  <c:pt idx="97">
                    <c:v>99</c:v>
                  </c:pt>
                  <c:pt idx="98">
                    <c:v>100</c:v>
                  </c:pt>
                  <c:pt idx="99">
                    <c:v>101</c:v>
                  </c:pt>
                  <c:pt idx="100">
                    <c:v>102</c:v>
                  </c:pt>
                  <c:pt idx="101">
                    <c:v>103</c:v>
                  </c:pt>
                  <c:pt idx="102">
                    <c:v>104</c:v>
                  </c:pt>
                  <c:pt idx="103">
                    <c:v>105</c:v>
                  </c:pt>
                  <c:pt idx="104">
                    <c:v>106</c:v>
                  </c:pt>
                  <c:pt idx="105">
                    <c:v>107</c:v>
                  </c:pt>
                  <c:pt idx="106">
                    <c:v>108</c:v>
                  </c:pt>
                  <c:pt idx="107">
                    <c:v>109</c:v>
                  </c:pt>
                  <c:pt idx="108">
                    <c:v>110</c:v>
                  </c:pt>
                  <c:pt idx="109">
                    <c:v>112</c:v>
                  </c:pt>
                  <c:pt idx="110">
                    <c:v>113</c:v>
                  </c:pt>
                  <c:pt idx="111">
                    <c:v>114</c:v>
                  </c:pt>
                  <c:pt idx="112">
                    <c:v>115</c:v>
                  </c:pt>
                  <c:pt idx="113">
                    <c:v>116</c:v>
                  </c:pt>
                  <c:pt idx="114">
                    <c:v>117</c:v>
                  </c:pt>
                  <c:pt idx="115">
                    <c:v>118</c:v>
                  </c:pt>
                  <c:pt idx="116">
                    <c:v>119</c:v>
                  </c:pt>
                  <c:pt idx="117">
                    <c:v>120</c:v>
                  </c:pt>
                  <c:pt idx="118">
                    <c:v>121</c:v>
                  </c:pt>
                  <c:pt idx="119">
                    <c:v>122</c:v>
                  </c:pt>
                  <c:pt idx="120">
                    <c:v>123</c:v>
                  </c:pt>
                  <c:pt idx="121">
                    <c:v>124</c:v>
                  </c:pt>
                  <c:pt idx="122">
                    <c:v>125</c:v>
                  </c:pt>
                  <c:pt idx="123">
                    <c:v>126</c:v>
                  </c:pt>
                  <c:pt idx="124">
                    <c:v>127</c:v>
                  </c:pt>
                  <c:pt idx="125">
                    <c:v>128</c:v>
                  </c:pt>
                  <c:pt idx="126">
                    <c:v>129</c:v>
                  </c:pt>
                  <c:pt idx="127">
                    <c:v>130</c:v>
                  </c:pt>
                  <c:pt idx="128">
                    <c:v>131</c:v>
                  </c:pt>
                  <c:pt idx="129">
                    <c:v>132</c:v>
                  </c:pt>
                  <c:pt idx="130">
                    <c:v>133</c:v>
                  </c:pt>
                  <c:pt idx="131">
                    <c:v>134</c:v>
                  </c:pt>
                  <c:pt idx="132">
                    <c:v>135</c:v>
                  </c:pt>
                  <c:pt idx="133">
                    <c:v>136</c:v>
                  </c:pt>
                  <c:pt idx="134">
                    <c:v>137</c:v>
                  </c:pt>
                  <c:pt idx="135">
                    <c:v>138</c:v>
                  </c:pt>
                  <c:pt idx="136">
                    <c:v>139</c:v>
                  </c:pt>
                  <c:pt idx="137">
                    <c:v>140</c:v>
                  </c:pt>
                  <c:pt idx="138">
                    <c:v>141</c:v>
                  </c:pt>
                  <c:pt idx="139">
                    <c:v>142</c:v>
                  </c:pt>
                  <c:pt idx="140">
                    <c:v>144</c:v>
                  </c:pt>
                  <c:pt idx="141">
                    <c:v>145</c:v>
                  </c:pt>
                  <c:pt idx="142">
                    <c:v>146</c:v>
                  </c:pt>
                  <c:pt idx="143">
                    <c:v>147</c:v>
                  </c:pt>
                  <c:pt idx="144">
                    <c:v>150</c:v>
                  </c:pt>
                  <c:pt idx="145">
                    <c:v>152</c:v>
                  </c:pt>
                  <c:pt idx="146">
                    <c:v>155</c:v>
                  </c:pt>
                  <c:pt idx="147">
                    <c:v>156</c:v>
                  </c:pt>
                  <c:pt idx="148">
                    <c:v>157</c:v>
                  </c:pt>
                  <c:pt idx="149">
                    <c:v>158</c:v>
                  </c:pt>
                  <c:pt idx="150">
                    <c:v>159</c:v>
                  </c:pt>
                  <c:pt idx="151">
                    <c:v>160</c:v>
                  </c:pt>
                  <c:pt idx="152">
                    <c:v>161</c:v>
                  </c:pt>
                  <c:pt idx="153">
                    <c:v>162</c:v>
                  </c:pt>
                  <c:pt idx="154">
                    <c:v>163</c:v>
                  </c:pt>
                  <c:pt idx="155">
                    <c:v>164</c:v>
                  </c:pt>
                  <c:pt idx="156">
                    <c:v>165</c:v>
                  </c:pt>
                  <c:pt idx="157">
                    <c:v>166</c:v>
                  </c:pt>
                  <c:pt idx="158">
                    <c:v>167</c:v>
                  </c:pt>
                  <c:pt idx="159">
                    <c:v>168</c:v>
                  </c:pt>
                  <c:pt idx="160">
                    <c:v>169</c:v>
                  </c:pt>
                  <c:pt idx="161">
                    <c:v>171</c:v>
                  </c:pt>
                  <c:pt idx="162">
                    <c:v>172</c:v>
                  </c:pt>
                  <c:pt idx="163">
                    <c:v>173</c:v>
                  </c:pt>
                  <c:pt idx="164">
                    <c:v>174</c:v>
                  </c:pt>
                  <c:pt idx="165">
                    <c:v>176</c:v>
                  </c:pt>
                  <c:pt idx="166">
                    <c:v>177</c:v>
                  </c:pt>
                  <c:pt idx="167">
                    <c:v>178</c:v>
                  </c:pt>
                  <c:pt idx="168">
                    <c:v>179</c:v>
                  </c:pt>
                  <c:pt idx="169">
                    <c:v>180</c:v>
                  </c:pt>
                  <c:pt idx="170">
                    <c:v>182</c:v>
                  </c:pt>
                  <c:pt idx="171">
                    <c:v>183</c:v>
                  </c:pt>
                  <c:pt idx="172">
                    <c:v>184</c:v>
                  </c:pt>
                  <c:pt idx="173">
                    <c:v>185</c:v>
                  </c:pt>
                  <c:pt idx="174">
                    <c:v>186</c:v>
                  </c:pt>
                  <c:pt idx="175">
                    <c:v>187</c:v>
                  </c:pt>
                  <c:pt idx="176">
                    <c:v>188</c:v>
                  </c:pt>
                  <c:pt idx="177">
                    <c:v>189</c:v>
                  </c:pt>
                  <c:pt idx="178">
                    <c:v>190</c:v>
                  </c:pt>
                  <c:pt idx="179">
                    <c:v>191</c:v>
                  </c:pt>
                  <c:pt idx="180">
                    <c:v>192</c:v>
                  </c:pt>
                  <c:pt idx="181">
                    <c:v>193</c:v>
                  </c:pt>
                  <c:pt idx="182">
                    <c:v>194</c:v>
                  </c:pt>
                  <c:pt idx="183">
                    <c:v>195</c:v>
                  </c:pt>
                  <c:pt idx="184">
                    <c:v>196</c:v>
                  </c:pt>
                  <c:pt idx="185">
                    <c:v>197</c:v>
                  </c:pt>
                  <c:pt idx="186">
                    <c:v>198</c:v>
                  </c:pt>
                  <c:pt idx="187">
                    <c:v>199</c:v>
                  </c:pt>
                  <c:pt idx="188">
                    <c:v>200</c:v>
                  </c:pt>
                  <c:pt idx="189">
                    <c:v>201</c:v>
                  </c:pt>
                  <c:pt idx="190">
                    <c:v>204</c:v>
                  </c:pt>
                  <c:pt idx="191">
                    <c:v>205</c:v>
                  </c:pt>
                  <c:pt idx="192">
                    <c:v>206</c:v>
                  </c:pt>
                  <c:pt idx="193">
                    <c:v>208</c:v>
                  </c:pt>
                  <c:pt idx="194">
                    <c:v>209</c:v>
                  </c:pt>
                  <c:pt idx="195">
                    <c:v>210</c:v>
                  </c:pt>
                  <c:pt idx="196">
                    <c:v>211</c:v>
                  </c:pt>
                  <c:pt idx="197">
                    <c:v>213</c:v>
                  </c:pt>
                  <c:pt idx="198">
                    <c:v>214</c:v>
                  </c:pt>
                  <c:pt idx="199">
                    <c:v>215</c:v>
                  </c:pt>
                  <c:pt idx="200">
                    <c:v>216</c:v>
                  </c:pt>
                  <c:pt idx="201">
                    <c:v>217</c:v>
                  </c:pt>
                  <c:pt idx="202">
                    <c:v>219</c:v>
                  </c:pt>
                </c:lvl>
              </c:multiLvlStrCache>
            </c:multiLvlStrRef>
          </c:cat>
          <c:val>
            <c:numRef>
              <c:f>Sheet1!$N$6:$N$207</c:f>
              <c:numCache>
                <c:formatCode>General</c:formatCode>
                <c:ptCount val="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306688"/>
        <c:axId val="2028311584"/>
      </c:barChart>
      <c:catAx>
        <c:axId val="202830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8311584"/>
        <c:crosses val="autoZero"/>
        <c:auto val="1"/>
        <c:lblAlgn val="ctr"/>
        <c:lblOffset val="100"/>
        <c:noMultiLvlLbl val="0"/>
      </c:catAx>
      <c:valAx>
        <c:axId val="20283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830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207869-9d3d-44fd-8255-bc4a33d6d7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434236</xdr:colOff>
      <xdr:row>34</xdr:row>
      <xdr:rowOff>28010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8663305" cy="628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73" zoomScaleNormal="73" workbookViewId="0">
      <selection activeCell="F207" sqref="F207"/>
    </sheetView>
  </sheetViews>
  <sheetFormatPr defaultColWidth="9.81818181818182" defaultRowHeight="14.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1"/>
  <sheetViews>
    <sheetView tabSelected="1" zoomScale="50" zoomScaleNormal="50" topLeftCell="C35" workbookViewId="0">
      <selection activeCell="F43" sqref="F43"/>
    </sheetView>
  </sheetViews>
  <sheetFormatPr defaultColWidth="9" defaultRowHeight="14.5"/>
  <cols>
    <col min="1" max="1" width="9.57272727272727" customWidth="1"/>
    <col min="2" max="2" width="33.1363636363636" customWidth="1"/>
    <col min="3" max="3" width="96.7090909090909" customWidth="1"/>
    <col min="4" max="4" width="39.2727272727273" customWidth="1"/>
    <col min="5" max="5" width="21.2818181818182" customWidth="1"/>
    <col min="6" max="6" width="23.8181818181818" customWidth="1"/>
    <col min="7" max="7" width="25.7090909090909" customWidth="1"/>
    <col min="8" max="8" width="32.9090909090909" customWidth="1"/>
    <col min="9" max="9" width="32.3636363636364" customWidth="1"/>
    <col min="10" max="10" width="32.7272727272727" customWidth="1"/>
    <col min="11" max="11" width="22.1363636363636" customWidth="1"/>
    <col min="12" max="12" width="24" customWidth="1"/>
    <col min="13" max="13" width="14" customWidth="1"/>
    <col min="14" max="14" width="11.1363636363636" customWidth="1"/>
  </cols>
  <sheetData>
    <row r="1" ht="20.5" spans="1:14">
      <c r="C1" s="2"/>
      <c r="D1" s="2"/>
      <c r="E1" s="2"/>
      <c r="F1" s="2"/>
    </row>
    <row r="2" ht="20.5" spans="1:14">
      <c r="C2" s="3" t="s">
        <v>0</v>
      </c>
      <c r="D2" s="2"/>
      <c r="E2" s="2"/>
      <c r="F2" s="2"/>
    </row>
    <row r="3" ht="20.5" spans="1:14">
      <c r="C3" s="3" t="s">
        <v>1</v>
      </c>
      <c r="D3" s="2"/>
      <c r="E3" s="2"/>
      <c r="F3" s="2"/>
    </row>
    <row r="4" ht="20.5" spans="1:14">
      <c r="C4" s="2"/>
      <c r="D4" s="2"/>
      <c r="E4" s="2"/>
      <c r="F4" s="2"/>
    </row>
    <row r="5" ht="25.5" spans="1:14">
      <c r="A5" s="4"/>
      <c r="B5" s="4"/>
      <c r="C5" s="4"/>
      <c r="D5" s="5" t="s">
        <v>2</v>
      </c>
      <c r="E5" s="5"/>
      <c r="F5" s="5"/>
      <c r="G5" s="5"/>
      <c r="H5" s="6" t="s">
        <v>3</v>
      </c>
      <c r="I5" s="6"/>
      <c r="J5" s="6"/>
      <c r="K5" s="6"/>
      <c r="L5" s="6"/>
      <c r="M5" s="7" t="s">
        <v>4</v>
      </c>
      <c r="N5" s="7"/>
    </row>
    <row r="6" s="1" customFormat="1" ht="25" spans="1:14">
      <c r="A6" s="8" t="s">
        <v>5</v>
      </c>
      <c r="B6" s="8" t="s">
        <v>6</v>
      </c>
      <c r="C6" s="8" t="s">
        <v>7</v>
      </c>
      <c r="D6" s="9" t="s">
        <v>8</v>
      </c>
      <c r="E6" s="9" t="s">
        <v>9</v>
      </c>
      <c r="F6" s="9" t="s">
        <v>10</v>
      </c>
      <c r="G6" s="10" t="s">
        <v>11</v>
      </c>
      <c r="H6" s="11" t="s">
        <v>12</v>
      </c>
      <c r="I6" s="11" t="s">
        <v>13</v>
      </c>
      <c r="J6" s="11" t="s">
        <v>14</v>
      </c>
      <c r="K6" s="12">
        <v>1</v>
      </c>
      <c r="L6" s="10" t="s">
        <v>15</v>
      </c>
      <c r="M6" s="13">
        <v>1</v>
      </c>
      <c r="N6" s="14" t="s">
        <v>16</v>
      </c>
    </row>
    <row r="7" s="1" customFormat="1" ht="25.5" spans="1:14">
      <c r="A7" s="8"/>
      <c r="B7" s="15" t="s">
        <v>17</v>
      </c>
      <c r="C7" s="15" t="s">
        <v>18</v>
      </c>
      <c r="D7" s="16">
        <v>0</v>
      </c>
      <c r="E7" s="8">
        <v>0</v>
      </c>
      <c r="F7" s="16">
        <v>0</v>
      </c>
      <c r="G7" s="17">
        <f>SUM(F7,E7,D7)</f>
        <v>0</v>
      </c>
      <c r="H7" s="16">
        <v>39</v>
      </c>
      <c r="I7" s="16">
        <v>18</v>
      </c>
      <c r="J7" s="16">
        <v>12</v>
      </c>
      <c r="K7" s="18">
        <f>SUM(H7,I7,J7)</f>
        <v>69</v>
      </c>
      <c r="L7" s="17">
        <f>SUM(K7/100*60)</f>
        <v>41.4</v>
      </c>
      <c r="M7" s="19">
        <f>SUM(L7,G7)</f>
        <v>41.4</v>
      </c>
      <c r="N7" s="20" t="str">
        <f>IF(M7&lt;=49.9,"F",IF(M7&lt;=54.9,"D",IF(M7&lt;=59.9,"D+",IF(M7&lt;=64.9,"C",IF(M7&lt;=69.9,"C+",IF(M7&lt;=74.9,"B",IF(M7&lt;=79.9,"B+",IF(M7&gt;=80,"A"))))))))</f>
        <v>F</v>
      </c>
    </row>
    <row r="8" s="1" customFormat="1" ht="25.5" spans="1:14">
      <c r="A8" s="8"/>
      <c r="B8" s="15" t="s">
        <v>19</v>
      </c>
      <c r="C8" s="15" t="s">
        <v>20</v>
      </c>
      <c r="D8" s="16">
        <v>0</v>
      </c>
      <c r="E8" s="8">
        <v>0</v>
      </c>
      <c r="F8" s="16">
        <v>0</v>
      </c>
      <c r="G8" s="17">
        <v>0</v>
      </c>
      <c r="H8" s="16">
        <v>36</v>
      </c>
      <c r="I8" s="16">
        <v>9</v>
      </c>
      <c r="J8" s="16">
        <v>11</v>
      </c>
      <c r="K8" s="18">
        <f>SUM(H8,I8,J8)</f>
        <v>56</v>
      </c>
      <c r="L8" s="17">
        <f>SUM(K8/100*60)</f>
        <v>33.6</v>
      </c>
      <c r="M8" s="19">
        <f>SUM(L8,G8)</f>
        <v>33.6</v>
      </c>
      <c r="N8" s="20" t="str">
        <f>IF(M8&lt;=49.9,"F",IF(M8&lt;=54.9,"D",IF(M8&lt;=59.9,"D+",IF(M8&lt;=64.9,"C",IF(M8&lt;=69.9,"C+",IF(M8&lt;=74.9,"B",IF(M8&lt;=79.9,"B+",IF(M8&gt;=80,"A"))))))))</f>
        <v>F</v>
      </c>
    </row>
    <row r="9" ht="25.5" spans="1:14">
      <c r="A9" s="15">
        <v>1</v>
      </c>
      <c r="B9" s="15" t="s">
        <v>21</v>
      </c>
      <c r="C9" s="15" t="s">
        <v>22</v>
      </c>
      <c r="D9" s="16">
        <v>0</v>
      </c>
      <c r="E9" s="8">
        <v>0</v>
      </c>
      <c r="F9" s="16">
        <v>0</v>
      </c>
      <c r="G9" s="17">
        <f>SUM(F9,E9,D9)</f>
        <v>0</v>
      </c>
      <c r="H9" s="16">
        <v>50</v>
      </c>
      <c r="I9" s="16">
        <v>11</v>
      </c>
      <c r="J9" s="16">
        <v>17</v>
      </c>
      <c r="K9" s="18">
        <f>SUM(H9,I9,J9)</f>
        <v>78</v>
      </c>
      <c r="L9" s="17">
        <f>SUM(K9/100*60)</f>
        <v>46.8</v>
      </c>
      <c r="M9" s="19">
        <f>SUM(L9,G9)</f>
        <v>46.8</v>
      </c>
      <c r="N9" s="20" t="str">
        <f>IF(M9&lt;=49.9,"F",IF(M9&lt;=54.9,"D",IF(M9&lt;=59.9,"D+",IF(M9&lt;=64.9,"C",IF(M9&lt;=69.9,"C+",IF(M9&lt;=74.9,"B",IF(M9&lt;=79.9,"B+",IF(M9&gt;=80,"A"))))))))</f>
        <v>F</v>
      </c>
    </row>
    <row r="10" ht="25.5" spans="1:14">
      <c r="A10" s="15"/>
      <c r="B10" s="15" t="s">
        <v>23</v>
      </c>
      <c r="C10" s="15" t="s">
        <v>24</v>
      </c>
      <c r="D10" s="16">
        <v>0</v>
      </c>
      <c r="E10" s="8">
        <v>0</v>
      </c>
      <c r="F10" s="16">
        <v>0</v>
      </c>
      <c r="G10" s="17">
        <f>SUM(F10,E10,D10)</f>
        <v>0</v>
      </c>
      <c r="H10" s="16">
        <v>47</v>
      </c>
      <c r="I10" s="16">
        <v>9</v>
      </c>
      <c r="J10" s="16">
        <v>20</v>
      </c>
      <c r="K10" s="18">
        <f>SUM(H10,I10,J10)</f>
        <v>76</v>
      </c>
      <c r="L10" s="17">
        <f>SUM(K10/100*60)</f>
        <v>45.6</v>
      </c>
      <c r="M10" s="19">
        <f>SUM(L10,G10)</f>
        <v>45.6</v>
      </c>
      <c r="N10" s="20" t="str">
        <f>IF(M10&lt;=49.9,"F",IF(M10&lt;=54.9,"D",IF(M10&lt;=59.9,"D+",IF(M10&lt;=64.9,"C",IF(M10&lt;=69.9,"C+",IF(M10&lt;=74.9,"B",IF(M10&lt;=79.9,"B+",IF(M10&gt;=80,"A"))))))))</f>
        <v>F</v>
      </c>
    </row>
    <row r="11" ht="25.5" spans="1:14">
      <c r="A11" s="15">
        <v>3</v>
      </c>
      <c r="B11" s="15" t="s">
        <v>25</v>
      </c>
      <c r="C11" s="15" t="s">
        <v>26</v>
      </c>
      <c r="D11" s="16">
        <v>0</v>
      </c>
      <c r="E11" s="8">
        <v>0</v>
      </c>
      <c r="F11" s="16">
        <v>0</v>
      </c>
      <c r="G11" s="17">
        <f>SUM(F11,E11,D14)</f>
        <v>0</v>
      </c>
      <c r="H11" s="16">
        <v>49</v>
      </c>
      <c r="I11" s="16">
        <v>20</v>
      </c>
      <c r="J11" s="16">
        <v>19.5</v>
      </c>
      <c r="K11" s="18">
        <f>SUM(H11,I11,J11)</f>
        <v>88.5</v>
      </c>
      <c r="L11" s="17">
        <f>SUM(K11/100*60)</f>
        <v>53.1</v>
      </c>
      <c r="M11" s="19">
        <f>SUM(L11,G11)</f>
        <v>53.1</v>
      </c>
      <c r="N11" s="20" t="str">
        <f>IF(M11&lt;=49.9,"F",IF(M11&lt;=54.9,"D",IF(M11&lt;=59.9,"D+",IF(M11&lt;=64.9,"C",IF(M11&lt;=69.9,"C+",IF(M11&lt;=74.9,"B",IF(M11&lt;=79.9,"B+",IF(M11&gt;=80,"A"))))))))</f>
        <v>D</v>
      </c>
    </row>
    <row r="12" ht="25.5" spans="1:14">
      <c r="A12" s="15">
        <v>4</v>
      </c>
      <c r="B12" s="15" t="s">
        <v>27</v>
      </c>
      <c r="C12" s="15" t="s">
        <v>28</v>
      </c>
      <c r="D12" s="16">
        <v>0</v>
      </c>
      <c r="E12" s="8">
        <v>0</v>
      </c>
      <c r="F12" s="16">
        <v>0</v>
      </c>
      <c r="G12" s="17">
        <f t="shared" ref="G11:G70" si="0">SUM(F12,E12,D12)</f>
        <v>0</v>
      </c>
      <c r="H12" s="16">
        <v>50</v>
      </c>
      <c r="I12" s="16">
        <v>19</v>
      </c>
      <c r="J12" s="16">
        <v>20</v>
      </c>
      <c r="K12" s="18">
        <f t="shared" ref="K12:K71" si="1">SUM(H12,I12,J12)</f>
        <v>89</v>
      </c>
      <c r="L12" s="17">
        <f t="shared" ref="L12:L71" si="2">SUM(K12/100*60)</f>
        <v>53.4</v>
      </c>
      <c r="M12" s="19">
        <f t="shared" ref="M12:M71" si="3">SUM(L12,G12)</f>
        <v>53.4</v>
      </c>
      <c r="N12" s="20" t="str">
        <f t="shared" ref="N12:N71" si="4">IF(M12&lt;=49.9,"F",IF(M12&lt;=54.9,"D",IF(M12&lt;=59.9,"D+",IF(M12&lt;=64.9,"C",IF(M12&lt;=69.9,"C+",IF(M12&lt;=74.9,"B",IF(M12&lt;=79.9,"B+",IF(M12&gt;=80,"A"))))))))</f>
        <v>D</v>
      </c>
    </row>
    <row r="13" ht="25.5" spans="1:14">
      <c r="A13" s="15">
        <v>5</v>
      </c>
      <c r="B13" s="15" t="s">
        <v>29</v>
      </c>
      <c r="C13" s="15" t="s">
        <v>30</v>
      </c>
      <c r="D13" s="16">
        <v>0</v>
      </c>
      <c r="E13" s="8">
        <v>0</v>
      </c>
      <c r="F13" s="16">
        <v>0</v>
      </c>
      <c r="G13" s="17">
        <f t="shared" si="0"/>
        <v>0</v>
      </c>
      <c r="H13" s="16">
        <v>51</v>
      </c>
      <c r="I13" s="16">
        <v>19</v>
      </c>
      <c r="J13" s="16">
        <v>14</v>
      </c>
      <c r="K13" s="18">
        <f t="shared" si="1"/>
        <v>84</v>
      </c>
      <c r="L13" s="17">
        <f t="shared" si="2"/>
        <v>50.4</v>
      </c>
      <c r="M13" s="19">
        <f t="shared" si="3"/>
        <v>50.4</v>
      </c>
      <c r="N13" s="20" t="str">
        <f t="shared" si="4"/>
        <v>D</v>
      </c>
    </row>
    <row r="14" ht="25.5" spans="1:14">
      <c r="A14" s="15">
        <v>6</v>
      </c>
      <c r="B14" s="15" t="s">
        <v>31</v>
      </c>
      <c r="C14" s="15" t="s">
        <v>32</v>
      </c>
      <c r="D14" s="16">
        <v>0</v>
      </c>
      <c r="E14" s="8">
        <v>0</v>
      </c>
      <c r="F14" s="16">
        <v>0</v>
      </c>
      <c r="G14" s="17">
        <v>0</v>
      </c>
      <c r="H14" s="16">
        <v>46</v>
      </c>
      <c r="I14" s="16">
        <v>12</v>
      </c>
      <c r="J14" s="16">
        <v>13</v>
      </c>
      <c r="K14" s="18">
        <f t="shared" si="1"/>
        <v>71</v>
      </c>
      <c r="L14" s="17">
        <f t="shared" si="2"/>
        <v>42.6</v>
      </c>
      <c r="M14" s="19">
        <f t="shared" si="3"/>
        <v>42.6</v>
      </c>
      <c r="N14" s="20" t="str">
        <f t="shared" si="4"/>
        <v>F</v>
      </c>
    </row>
    <row r="15" ht="25.5" spans="1:14">
      <c r="A15" s="15">
        <v>7</v>
      </c>
      <c r="B15" s="15" t="s">
        <v>33</v>
      </c>
      <c r="C15" s="15" t="s">
        <v>34</v>
      </c>
      <c r="D15" s="16">
        <v>0</v>
      </c>
      <c r="E15" s="8">
        <v>0</v>
      </c>
      <c r="F15" s="16">
        <v>0</v>
      </c>
      <c r="G15" s="17">
        <f t="shared" si="0"/>
        <v>0</v>
      </c>
      <c r="H15" s="16">
        <v>49</v>
      </c>
      <c r="I15" s="16">
        <v>20</v>
      </c>
      <c r="J15" s="16">
        <v>20</v>
      </c>
      <c r="K15" s="18">
        <f t="shared" si="1"/>
        <v>89</v>
      </c>
      <c r="L15" s="17">
        <f t="shared" si="2"/>
        <v>53.4</v>
      </c>
      <c r="M15" s="19">
        <f t="shared" si="3"/>
        <v>53.4</v>
      </c>
      <c r="N15" s="20" t="str">
        <f t="shared" si="4"/>
        <v>D</v>
      </c>
    </row>
    <row r="16" ht="25.5" spans="1:14">
      <c r="A16" s="15">
        <v>9</v>
      </c>
      <c r="B16" s="15" t="s">
        <v>35</v>
      </c>
      <c r="C16" s="15" t="s">
        <v>36</v>
      </c>
      <c r="D16" s="16">
        <v>0</v>
      </c>
      <c r="E16" s="8">
        <v>0</v>
      </c>
      <c r="F16" s="16">
        <v>0</v>
      </c>
      <c r="G16" s="17">
        <f t="shared" si="0"/>
        <v>0</v>
      </c>
      <c r="H16" s="16">
        <v>0</v>
      </c>
      <c r="I16" s="16">
        <v>0</v>
      </c>
      <c r="J16" s="16">
        <v>0</v>
      </c>
      <c r="K16" s="18">
        <f t="shared" si="1"/>
        <v>0</v>
      </c>
      <c r="L16" s="17">
        <f t="shared" si="2"/>
        <v>0</v>
      </c>
      <c r="M16" s="19">
        <f t="shared" si="3"/>
        <v>0</v>
      </c>
      <c r="N16" s="20" t="str">
        <f t="shared" si="4"/>
        <v>F</v>
      </c>
    </row>
    <row r="17" ht="25.5" spans="1:14">
      <c r="A17" s="15">
        <v>10</v>
      </c>
      <c r="B17" s="15" t="s">
        <v>37</v>
      </c>
      <c r="C17" s="15" t="s">
        <v>38</v>
      </c>
      <c r="D17" s="16">
        <v>0</v>
      </c>
      <c r="E17" s="8">
        <v>0</v>
      </c>
      <c r="F17" s="16">
        <v>0</v>
      </c>
      <c r="G17" s="17">
        <f t="shared" si="0"/>
        <v>0</v>
      </c>
      <c r="H17" s="16">
        <v>46</v>
      </c>
      <c r="I17" s="16">
        <v>19</v>
      </c>
      <c r="J17" s="16">
        <v>11</v>
      </c>
      <c r="K17" s="18">
        <f t="shared" si="1"/>
        <v>76</v>
      </c>
      <c r="L17" s="17">
        <f t="shared" si="2"/>
        <v>45.6</v>
      </c>
      <c r="M17" s="19">
        <f t="shared" si="3"/>
        <v>45.6</v>
      </c>
      <c r="N17" s="20" t="str">
        <f t="shared" si="4"/>
        <v>F</v>
      </c>
    </row>
    <row r="18" ht="25.5" spans="1:14">
      <c r="A18" s="15">
        <v>11</v>
      </c>
      <c r="B18" s="15" t="s">
        <v>39</v>
      </c>
      <c r="C18" s="15" t="s">
        <v>40</v>
      </c>
      <c r="D18" s="16">
        <v>0</v>
      </c>
      <c r="E18" s="8">
        <v>0</v>
      </c>
      <c r="F18" s="16">
        <v>0</v>
      </c>
      <c r="G18" s="17">
        <f t="shared" si="0"/>
        <v>0</v>
      </c>
      <c r="H18" s="16">
        <v>47</v>
      </c>
      <c r="I18" s="16">
        <v>19</v>
      </c>
      <c r="J18" s="16">
        <v>20</v>
      </c>
      <c r="K18" s="18">
        <f t="shared" si="1"/>
        <v>86</v>
      </c>
      <c r="L18" s="17">
        <f t="shared" si="2"/>
        <v>51.6</v>
      </c>
      <c r="M18" s="19">
        <f t="shared" si="3"/>
        <v>51.6</v>
      </c>
      <c r="N18" s="20" t="str">
        <f t="shared" si="4"/>
        <v>D</v>
      </c>
    </row>
    <row r="19" ht="25.5" spans="1:14">
      <c r="A19" s="15">
        <v>12</v>
      </c>
      <c r="B19" s="15" t="s">
        <v>41</v>
      </c>
      <c r="C19" s="15" t="s">
        <v>42</v>
      </c>
      <c r="D19" s="16">
        <v>0</v>
      </c>
      <c r="E19" s="8">
        <v>0</v>
      </c>
      <c r="F19" s="16">
        <v>0</v>
      </c>
      <c r="G19" s="17">
        <f t="shared" si="0"/>
        <v>0</v>
      </c>
      <c r="H19" s="16">
        <v>46</v>
      </c>
      <c r="I19" s="16">
        <v>20</v>
      </c>
      <c r="J19" s="16">
        <v>17</v>
      </c>
      <c r="K19" s="18">
        <f t="shared" si="1"/>
        <v>83</v>
      </c>
      <c r="L19" s="17">
        <f t="shared" si="2"/>
        <v>49.8</v>
      </c>
      <c r="M19" s="19">
        <f t="shared" si="3"/>
        <v>49.8</v>
      </c>
      <c r="N19" s="20" t="str">
        <f t="shared" si="4"/>
        <v>F</v>
      </c>
    </row>
    <row r="20" ht="25.5" spans="1:14">
      <c r="A20" s="15">
        <v>13</v>
      </c>
      <c r="B20" s="15" t="s">
        <v>43</v>
      </c>
      <c r="C20" s="15" t="s">
        <v>44</v>
      </c>
      <c r="D20" s="16">
        <v>0</v>
      </c>
      <c r="E20" s="8">
        <v>0</v>
      </c>
      <c r="F20" s="16">
        <v>0</v>
      </c>
      <c r="G20" s="17">
        <f t="shared" si="0"/>
        <v>0</v>
      </c>
      <c r="H20" s="16">
        <v>49</v>
      </c>
      <c r="I20" s="16">
        <v>20</v>
      </c>
      <c r="J20" s="16">
        <v>20</v>
      </c>
      <c r="K20" s="18">
        <f t="shared" si="1"/>
        <v>89</v>
      </c>
      <c r="L20" s="17">
        <f t="shared" si="2"/>
        <v>53.4</v>
      </c>
      <c r="M20" s="19">
        <f t="shared" si="3"/>
        <v>53.4</v>
      </c>
      <c r="N20" s="20" t="str">
        <f t="shared" si="4"/>
        <v>D</v>
      </c>
    </row>
    <row r="21" ht="25.5" spans="1:14">
      <c r="A21" s="15">
        <v>14</v>
      </c>
      <c r="B21" s="15" t="s">
        <v>45</v>
      </c>
      <c r="C21" s="15" t="s">
        <v>46</v>
      </c>
      <c r="D21" s="16">
        <v>0</v>
      </c>
      <c r="E21" s="8">
        <v>0</v>
      </c>
      <c r="F21" s="16">
        <v>0</v>
      </c>
      <c r="G21" s="17">
        <f t="shared" si="0"/>
        <v>0</v>
      </c>
      <c r="H21" s="16">
        <v>38</v>
      </c>
      <c r="I21" s="16">
        <v>12.5</v>
      </c>
      <c r="J21" s="16">
        <v>17</v>
      </c>
      <c r="K21" s="18">
        <f t="shared" si="1"/>
        <v>67.5</v>
      </c>
      <c r="L21" s="17">
        <f t="shared" si="2"/>
        <v>40.5</v>
      </c>
      <c r="M21" s="19">
        <f t="shared" si="3"/>
        <v>40.5</v>
      </c>
      <c r="N21" s="20" t="str">
        <f t="shared" si="4"/>
        <v>F</v>
      </c>
    </row>
    <row r="22" ht="25.5" spans="1:14">
      <c r="A22" s="15">
        <v>15</v>
      </c>
      <c r="B22" s="15" t="s">
        <v>47</v>
      </c>
      <c r="C22" s="15" t="s">
        <v>48</v>
      </c>
      <c r="D22" s="16">
        <v>0</v>
      </c>
      <c r="E22" s="8">
        <v>0</v>
      </c>
      <c r="F22" s="16">
        <v>0</v>
      </c>
      <c r="G22" s="17">
        <f t="shared" si="0"/>
        <v>0</v>
      </c>
      <c r="H22" s="16">
        <v>41</v>
      </c>
      <c r="I22" s="16">
        <v>19</v>
      </c>
      <c r="J22" s="16">
        <v>12</v>
      </c>
      <c r="K22" s="18">
        <f t="shared" si="1"/>
        <v>72</v>
      </c>
      <c r="L22" s="17">
        <f t="shared" si="2"/>
        <v>43.2</v>
      </c>
      <c r="M22" s="19">
        <f t="shared" si="3"/>
        <v>43.2</v>
      </c>
      <c r="N22" s="20" t="str">
        <f t="shared" si="4"/>
        <v>F</v>
      </c>
    </row>
    <row r="23" ht="25.5" spans="1:14">
      <c r="A23" s="15">
        <v>16</v>
      </c>
      <c r="B23" s="15" t="s">
        <v>49</v>
      </c>
      <c r="C23" s="15" t="s">
        <v>50</v>
      </c>
      <c r="D23" s="16">
        <v>0</v>
      </c>
      <c r="E23" s="8">
        <v>0</v>
      </c>
      <c r="F23" s="16">
        <v>0</v>
      </c>
      <c r="G23" s="17">
        <f t="shared" si="0"/>
        <v>0</v>
      </c>
      <c r="H23" s="16">
        <v>36</v>
      </c>
      <c r="I23" s="16">
        <v>16</v>
      </c>
      <c r="J23" s="16">
        <v>16</v>
      </c>
      <c r="K23" s="18">
        <f t="shared" si="1"/>
        <v>68</v>
      </c>
      <c r="L23" s="17">
        <f t="shared" si="2"/>
        <v>40.8</v>
      </c>
      <c r="M23" s="19">
        <f t="shared" si="3"/>
        <v>40.8</v>
      </c>
      <c r="N23" s="20" t="str">
        <f t="shared" si="4"/>
        <v>F</v>
      </c>
    </row>
    <row r="24" ht="25.5" spans="1:14">
      <c r="A24" s="15">
        <v>17</v>
      </c>
      <c r="B24" s="15" t="s">
        <v>51</v>
      </c>
      <c r="C24" s="15" t="s">
        <v>52</v>
      </c>
      <c r="D24" s="16">
        <v>0</v>
      </c>
      <c r="E24" s="8">
        <v>0</v>
      </c>
      <c r="F24" s="16">
        <v>0</v>
      </c>
      <c r="G24" s="17">
        <f t="shared" si="0"/>
        <v>0</v>
      </c>
      <c r="H24" s="16">
        <v>49</v>
      </c>
      <c r="I24" s="16">
        <v>18</v>
      </c>
      <c r="J24" s="16">
        <v>18</v>
      </c>
      <c r="K24" s="18">
        <f t="shared" si="1"/>
        <v>85</v>
      </c>
      <c r="L24" s="17">
        <f t="shared" si="2"/>
        <v>51</v>
      </c>
      <c r="M24" s="19">
        <f t="shared" si="3"/>
        <v>51</v>
      </c>
      <c r="N24" s="20" t="str">
        <f t="shared" si="4"/>
        <v>D</v>
      </c>
    </row>
    <row r="25" ht="25.5" spans="1:14">
      <c r="A25" s="15">
        <v>19</v>
      </c>
      <c r="B25" s="15" t="s">
        <v>53</v>
      </c>
      <c r="C25" s="15" t="s">
        <v>54</v>
      </c>
      <c r="D25" s="16">
        <v>0</v>
      </c>
      <c r="E25" s="8">
        <v>0</v>
      </c>
      <c r="F25" s="16">
        <v>0</v>
      </c>
      <c r="G25" s="17">
        <f t="shared" si="0"/>
        <v>0</v>
      </c>
      <c r="H25" s="16">
        <v>49</v>
      </c>
      <c r="I25" s="16">
        <v>18</v>
      </c>
      <c r="J25" s="16">
        <v>17</v>
      </c>
      <c r="K25" s="18">
        <f t="shared" si="1"/>
        <v>84</v>
      </c>
      <c r="L25" s="17">
        <f t="shared" si="2"/>
        <v>50.4</v>
      </c>
      <c r="M25" s="19">
        <f t="shared" si="3"/>
        <v>50.4</v>
      </c>
      <c r="N25" s="20" t="str">
        <f t="shared" si="4"/>
        <v>D</v>
      </c>
    </row>
    <row r="26" ht="25.5" spans="1:14">
      <c r="A26" s="15">
        <v>20</v>
      </c>
      <c r="B26" s="15" t="s">
        <v>55</v>
      </c>
      <c r="C26" s="15" t="s">
        <v>56</v>
      </c>
      <c r="D26" s="16">
        <v>0</v>
      </c>
      <c r="E26" s="8">
        <v>0</v>
      </c>
      <c r="F26" s="16">
        <v>0</v>
      </c>
      <c r="G26" s="17">
        <f t="shared" si="0"/>
        <v>0</v>
      </c>
      <c r="H26" s="16">
        <v>45</v>
      </c>
      <c r="I26" s="16">
        <v>17</v>
      </c>
      <c r="J26" s="16">
        <v>14</v>
      </c>
      <c r="K26" s="18">
        <f t="shared" si="1"/>
        <v>76</v>
      </c>
      <c r="L26" s="17">
        <f t="shared" si="2"/>
        <v>45.6</v>
      </c>
      <c r="M26" s="19">
        <f t="shared" si="3"/>
        <v>45.6</v>
      </c>
      <c r="N26" s="20" t="str">
        <f t="shared" si="4"/>
        <v>F</v>
      </c>
    </row>
    <row r="27" ht="25.5" spans="1:14">
      <c r="A27" s="15">
        <v>21</v>
      </c>
      <c r="B27" s="15" t="s">
        <v>57</v>
      </c>
      <c r="C27" s="15" t="s">
        <v>58</v>
      </c>
      <c r="D27" s="16">
        <v>0</v>
      </c>
      <c r="E27" s="8">
        <v>0</v>
      </c>
      <c r="F27" s="16">
        <v>0</v>
      </c>
      <c r="G27" s="17">
        <f t="shared" si="0"/>
        <v>0</v>
      </c>
      <c r="H27" s="16">
        <v>46</v>
      </c>
      <c r="I27" s="16">
        <v>19</v>
      </c>
      <c r="J27" s="16">
        <v>17</v>
      </c>
      <c r="K27" s="18">
        <f t="shared" si="1"/>
        <v>82</v>
      </c>
      <c r="L27" s="17">
        <f t="shared" si="2"/>
        <v>49.2</v>
      </c>
      <c r="M27" s="19">
        <f t="shared" si="3"/>
        <v>49.2</v>
      </c>
      <c r="N27" s="20" t="str">
        <f t="shared" si="4"/>
        <v>F</v>
      </c>
    </row>
    <row r="28" ht="25.5" spans="1:14">
      <c r="A28" s="15">
        <v>22</v>
      </c>
      <c r="B28" s="15" t="s">
        <v>59</v>
      </c>
      <c r="C28" s="15" t="s">
        <v>60</v>
      </c>
      <c r="D28" s="16">
        <v>0</v>
      </c>
      <c r="E28" s="8">
        <v>0</v>
      </c>
      <c r="F28" s="16">
        <v>0</v>
      </c>
      <c r="G28" s="17">
        <f t="shared" si="0"/>
        <v>0</v>
      </c>
      <c r="H28" s="16">
        <v>46</v>
      </c>
      <c r="I28" s="16">
        <v>17</v>
      </c>
      <c r="J28" s="16">
        <v>15</v>
      </c>
      <c r="K28" s="18">
        <f t="shared" si="1"/>
        <v>78</v>
      </c>
      <c r="L28" s="17">
        <f t="shared" si="2"/>
        <v>46.8</v>
      </c>
      <c r="M28" s="19">
        <f t="shared" si="3"/>
        <v>46.8</v>
      </c>
      <c r="N28" s="20" t="str">
        <f t="shared" si="4"/>
        <v>F</v>
      </c>
    </row>
    <row r="29" ht="25.5" spans="1:14">
      <c r="A29" s="15">
        <v>23</v>
      </c>
      <c r="B29" s="15" t="s">
        <v>61</v>
      </c>
      <c r="C29" s="15" t="s">
        <v>62</v>
      </c>
      <c r="D29" s="16">
        <v>0</v>
      </c>
      <c r="E29" s="8">
        <v>0</v>
      </c>
      <c r="F29" s="16">
        <v>0</v>
      </c>
      <c r="G29" s="17">
        <f t="shared" si="0"/>
        <v>0</v>
      </c>
      <c r="H29" s="16">
        <v>47</v>
      </c>
      <c r="I29" s="16">
        <v>15</v>
      </c>
      <c r="J29" s="16">
        <v>14</v>
      </c>
      <c r="K29" s="18">
        <f t="shared" si="1"/>
        <v>76</v>
      </c>
      <c r="L29" s="17">
        <f t="shared" si="2"/>
        <v>45.6</v>
      </c>
      <c r="M29" s="19">
        <f t="shared" si="3"/>
        <v>45.6</v>
      </c>
      <c r="N29" s="20" t="str">
        <f t="shared" si="4"/>
        <v>F</v>
      </c>
    </row>
    <row r="30" ht="25.5" spans="1:14">
      <c r="A30" s="15">
        <v>24</v>
      </c>
      <c r="B30" s="15" t="s">
        <v>63</v>
      </c>
      <c r="C30" s="15" t="s">
        <v>64</v>
      </c>
      <c r="D30" s="16">
        <v>0</v>
      </c>
      <c r="E30" s="8">
        <v>0</v>
      </c>
      <c r="F30" s="16">
        <v>0</v>
      </c>
      <c r="G30" s="17">
        <f t="shared" si="0"/>
        <v>0</v>
      </c>
      <c r="H30" s="16">
        <v>52</v>
      </c>
      <c r="I30" s="16">
        <v>19</v>
      </c>
      <c r="J30" s="16">
        <v>15</v>
      </c>
      <c r="K30" s="18">
        <f t="shared" si="1"/>
        <v>86</v>
      </c>
      <c r="L30" s="17">
        <f t="shared" si="2"/>
        <v>51.6</v>
      </c>
      <c r="M30" s="19">
        <f t="shared" si="3"/>
        <v>51.6</v>
      </c>
      <c r="N30" s="20" t="str">
        <f t="shared" si="4"/>
        <v>D</v>
      </c>
    </row>
    <row r="31" ht="25.5" spans="1:14">
      <c r="A31" s="15">
        <v>25</v>
      </c>
      <c r="B31" s="15" t="s">
        <v>65</v>
      </c>
      <c r="C31" s="15" t="s">
        <v>66</v>
      </c>
      <c r="D31" s="16">
        <v>0</v>
      </c>
      <c r="E31" s="8">
        <v>0</v>
      </c>
      <c r="F31" s="16">
        <v>0</v>
      </c>
      <c r="G31" s="17">
        <f t="shared" si="0"/>
        <v>0</v>
      </c>
      <c r="H31" s="16">
        <v>47</v>
      </c>
      <c r="I31" s="16">
        <v>20</v>
      </c>
      <c r="J31" s="16">
        <v>14</v>
      </c>
      <c r="K31" s="18">
        <f t="shared" si="1"/>
        <v>81</v>
      </c>
      <c r="L31" s="17">
        <f t="shared" si="2"/>
        <v>48.6</v>
      </c>
      <c r="M31" s="19">
        <f t="shared" si="3"/>
        <v>48.6</v>
      </c>
      <c r="N31" s="20" t="str">
        <f t="shared" si="4"/>
        <v>F</v>
      </c>
    </row>
    <row r="32" ht="25.5" spans="1:14">
      <c r="A32" s="15">
        <v>26</v>
      </c>
      <c r="B32" s="15" t="s">
        <v>67</v>
      </c>
      <c r="C32" s="15" t="s">
        <v>68</v>
      </c>
      <c r="D32" s="16">
        <v>0</v>
      </c>
      <c r="E32" s="8">
        <v>0</v>
      </c>
      <c r="F32" s="16">
        <v>0</v>
      </c>
      <c r="G32" s="17">
        <f t="shared" si="0"/>
        <v>0</v>
      </c>
      <c r="H32" s="16">
        <v>50</v>
      </c>
      <c r="I32" s="16">
        <v>20</v>
      </c>
      <c r="J32" s="16">
        <v>18</v>
      </c>
      <c r="K32" s="18">
        <f t="shared" si="1"/>
        <v>88</v>
      </c>
      <c r="L32" s="17">
        <f t="shared" si="2"/>
        <v>52.8</v>
      </c>
      <c r="M32" s="19">
        <f t="shared" si="3"/>
        <v>52.8</v>
      </c>
      <c r="N32" s="20" t="str">
        <f t="shared" si="4"/>
        <v>D</v>
      </c>
    </row>
    <row r="33" ht="25.5" spans="1:14">
      <c r="A33" s="15">
        <v>27</v>
      </c>
      <c r="B33" s="15" t="s">
        <v>69</v>
      </c>
      <c r="C33" s="15" t="s">
        <v>70</v>
      </c>
      <c r="D33" s="16">
        <v>0</v>
      </c>
      <c r="E33" s="8">
        <v>0</v>
      </c>
      <c r="F33" s="16">
        <v>0</v>
      </c>
      <c r="G33" s="17">
        <f t="shared" si="0"/>
        <v>0</v>
      </c>
      <c r="H33" s="16">
        <v>47</v>
      </c>
      <c r="I33" s="16">
        <v>17</v>
      </c>
      <c r="J33" s="16">
        <v>20</v>
      </c>
      <c r="K33" s="18">
        <f t="shared" si="1"/>
        <v>84</v>
      </c>
      <c r="L33" s="17">
        <f t="shared" si="2"/>
        <v>50.4</v>
      </c>
      <c r="M33" s="19">
        <f t="shared" si="3"/>
        <v>50.4</v>
      </c>
      <c r="N33" s="20" t="str">
        <f t="shared" si="4"/>
        <v>D</v>
      </c>
    </row>
    <row r="34" ht="25.5" spans="1:14">
      <c r="A34" s="15">
        <v>28</v>
      </c>
      <c r="B34" s="15" t="s">
        <v>71</v>
      </c>
      <c r="C34" s="15" t="s">
        <v>72</v>
      </c>
      <c r="D34" s="16">
        <v>0</v>
      </c>
      <c r="E34" s="8">
        <v>0</v>
      </c>
      <c r="F34" s="16">
        <v>0</v>
      </c>
      <c r="G34" s="17">
        <f t="shared" si="0"/>
        <v>0</v>
      </c>
      <c r="H34" s="16">
        <v>51</v>
      </c>
      <c r="I34" s="16">
        <v>18</v>
      </c>
      <c r="J34" s="16">
        <v>20</v>
      </c>
      <c r="K34" s="18">
        <f t="shared" si="1"/>
        <v>89</v>
      </c>
      <c r="L34" s="17">
        <f t="shared" si="2"/>
        <v>53.4</v>
      </c>
      <c r="M34" s="19">
        <f t="shared" si="3"/>
        <v>53.4</v>
      </c>
      <c r="N34" s="20" t="str">
        <f t="shared" si="4"/>
        <v>D</v>
      </c>
    </row>
    <row r="35" ht="25.5" spans="1:14">
      <c r="A35" s="15">
        <v>29</v>
      </c>
      <c r="B35" s="15" t="s">
        <v>73</v>
      </c>
      <c r="C35" s="15" t="s">
        <v>74</v>
      </c>
      <c r="D35" s="16">
        <v>0</v>
      </c>
      <c r="E35" s="8">
        <v>0</v>
      </c>
      <c r="F35" s="16">
        <v>0</v>
      </c>
      <c r="G35" s="17">
        <f t="shared" si="0"/>
        <v>0</v>
      </c>
      <c r="H35" s="16">
        <v>51</v>
      </c>
      <c r="I35" s="16">
        <v>15</v>
      </c>
      <c r="J35" s="16">
        <v>15</v>
      </c>
      <c r="K35" s="18">
        <f t="shared" si="1"/>
        <v>81</v>
      </c>
      <c r="L35" s="17">
        <f t="shared" si="2"/>
        <v>48.6</v>
      </c>
      <c r="M35" s="19">
        <f t="shared" si="3"/>
        <v>48.6</v>
      </c>
      <c r="N35" s="20" t="str">
        <f t="shared" si="4"/>
        <v>F</v>
      </c>
    </row>
    <row r="36" ht="25.5" spans="1:14">
      <c r="A36" s="15">
        <v>30</v>
      </c>
      <c r="B36" s="15" t="s">
        <v>75</v>
      </c>
      <c r="C36" s="15" t="s">
        <v>76</v>
      </c>
      <c r="D36" s="16">
        <v>0</v>
      </c>
      <c r="E36" s="8">
        <v>0</v>
      </c>
      <c r="F36" s="16">
        <v>0</v>
      </c>
      <c r="G36" s="17">
        <f t="shared" si="0"/>
        <v>0</v>
      </c>
      <c r="H36" s="16">
        <v>48</v>
      </c>
      <c r="I36" s="16">
        <v>18</v>
      </c>
      <c r="J36" s="16">
        <v>14</v>
      </c>
      <c r="K36" s="18">
        <f t="shared" si="1"/>
        <v>80</v>
      </c>
      <c r="L36" s="17">
        <f t="shared" si="2"/>
        <v>48</v>
      </c>
      <c r="M36" s="19">
        <f t="shared" si="3"/>
        <v>48</v>
      </c>
      <c r="N36" s="20" t="str">
        <f t="shared" si="4"/>
        <v>F</v>
      </c>
    </row>
    <row r="37" ht="25.5" spans="1:14">
      <c r="A37" s="15">
        <v>31</v>
      </c>
      <c r="B37" s="15" t="s">
        <v>77</v>
      </c>
      <c r="C37" s="15" t="s">
        <v>78</v>
      </c>
      <c r="D37" s="16">
        <v>0</v>
      </c>
      <c r="E37" s="8">
        <v>0</v>
      </c>
      <c r="F37" s="16">
        <v>0</v>
      </c>
      <c r="G37" s="17">
        <f t="shared" si="0"/>
        <v>0</v>
      </c>
      <c r="H37" s="16">
        <v>50</v>
      </c>
      <c r="I37" s="16">
        <v>17</v>
      </c>
      <c r="J37" s="16">
        <v>19</v>
      </c>
      <c r="K37" s="18">
        <f t="shared" si="1"/>
        <v>86</v>
      </c>
      <c r="L37" s="17">
        <f t="shared" si="2"/>
        <v>51.6</v>
      </c>
      <c r="M37" s="19">
        <f t="shared" si="3"/>
        <v>51.6</v>
      </c>
      <c r="N37" s="20" t="str">
        <f t="shared" si="4"/>
        <v>D</v>
      </c>
    </row>
    <row r="38" ht="25.5" spans="1:14">
      <c r="A38" s="15">
        <v>32</v>
      </c>
      <c r="B38" s="15" t="s">
        <v>79</v>
      </c>
      <c r="C38" s="15" t="s">
        <v>80</v>
      </c>
      <c r="D38" s="16">
        <v>0</v>
      </c>
      <c r="E38" s="8">
        <v>0</v>
      </c>
      <c r="F38" s="16">
        <v>0</v>
      </c>
      <c r="G38" s="17">
        <f t="shared" si="0"/>
        <v>0</v>
      </c>
      <c r="H38" s="16">
        <v>47</v>
      </c>
      <c r="I38" s="16">
        <v>20</v>
      </c>
      <c r="J38" s="16">
        <v>20</v>
      </c>
      <c r="K38" s="18">
        <f t="shared" si="1"/>
        <v>87</v>
      </c>
      <c r="L38" s="17">
        <f t="shared" si="2"/>
        <v>52.2</v>
      </c>
      <c r="M38" s="19">
        <f t="shared" si="3"/>
        <v>52.2</v>
      </c>
      <c r="N38" s="20" t="str">
        <f t="shared" si="4"/>
        <v>D</v>
      </c>
    </row>
    <row r="39" ht="25.5" spans="1:14">
      <c r="A39" s="15">
        <v>33</v>
      </c>
      <c r="B39" s="15" t="s">
        <v>81</v>
      </c>
      <c r="C39" s="15" t="s">
        <v>82</v>
      </c>
      <c r="D39" s="16">
        <v>0</v>
      </c>
      <c r="E39" s="8">
        <v>0</v>
      </c>
      <c r="F39" s="16">
        <v>0</v>
      </c>
      <c r="G39" s="17">
        <f t="shared" si="0"/>
        <v>0</v>
      </c>
      <c r="H39" s="16">
        <v>52</v>
      </c>
      <c r="I39" s="16">
        <v>19</v>
      </c>
      <c r="J39" s="16">
        <v>18</v>
      </c>
      <c r="K39" s="18">
        <f t="shared" si="1"/>
        <v>89</v>
      </c>
      <c r="L39" s="17">
        <f t="shared" si="2"/>
        <v>53.4</v>
      </c>
      <c r="M39" s="19">
        <f t="shared" si="3"/>
        <v>53.4</v>
      </c>
      <c r="N39" s="20" t="str">
        <f t="shared" si="4"/>
        <v>D</v>
      </c>
    </row>
    <row r="40" ht="25.5" spans="1:14">
      <c r="A40" s="15">
        <v>34</v>
      </c>
      <c r="B40" s="15" t="s">
        <v>83</v>
      </c>
      <c r="C40" s="15" t="s">
        <v>84</v>
      </c>
      <c r="D40" s="16">
        <v>0</v>
      </c>
      <c r="E40" s="8">
        <v>0</v>
      </c>
      <c r="F40" s="16">
        <v>0</v>
      </c>
      <c r="G40" s="17">
        <f t="shared" si="0"/>
        <v>0</v>
      </c>
      <c r="H40" s="16">
        <v>49</v>
      </c>
      <c r="I40" s="16">
        <v>20</v>
      </c>
      <c r="J40" s="16">
        <v>18</v>
      </c>
      <c r="K40" s="18">
        <f t="shared" si="1"/>
        <v>87</v>
      </c>
      <c r="L40" s="17">
        <f t="shared" si="2"/>
        <v>52.2</v>
      </c>
      <c r="M40" s="19">
        <f t="shared" si="3"/>
        <v>52.2</v>
      </c>
      <c r="N40" s="20" t="str">
        <f t="shared" si="4"/>
        <v>D</v>
      </c>
    </row>
    <row r="41" ht="25.5" spans="1:14">
      <c r="A41" s="15">
        <v>35</v>
      </c>
      <c r="B41" s="15" t="s">
        <v>85</v>
      </c>
      <c r="C41" s="15" t="s">
        <v>86</v>
      </c>
      <c r="D41" s="16">
        <v>0</v>
      </c>
      <c r="E41" s="8">
        <v>0</v>
      </c>
      <c r="F41" s="16">
        <v>0</v>
      </c>
      <c r="G41" s="17">
        <f t="shared" si="0"/>
        <v>0</v>
      </c>
      <c r="H41" s="16">
        <v>44</v>
      </c>
      <c r="I41" s="16">
        <v>12</v>
      </c>
      <c r="J41" s="16">
        <v>18</v>
      </c>
      <c r="K41" s="18">
        <f t="shared" si="1"/>
        <v>74</v>
      </c>
      <c r="L41" s="17">
        <f t="shared" si="2"/>
        <v>44.4</v>
      </c>
      <c r="M41" s="19">
        <f t="shared" si="3"/>
        <v>44.4</v>
      </c>
      <c r="N41" s="20" t="str">
        <f t="shared" si="4"/>
        <v>F</v>
      </c>
    </row>
    <row r="42" ht="25.5" spans="1:14">
      <c r="A42" s="15">
        <v>36</v>
      </c>
      <c r="B42" s="15" t="s">
        <v>87</v>
      </c>
      <c r="C42" s="15" t="s">
        <v>88</v>
      </c>
      <c r="D42" s="16">
        <v>0</v>
      </c>
      <c r="E42" s="8">
        <v>0</v>
      </c>
      <c r="F42" s="16">
        <v>0</v>
      </c>
      <c r="G42" s="17">
        <f t="shared" si="0"/>
        <v>0</v>
      </c>
      <c r="H42" s="16">
        <v>45</v>
      </c>
      <c r="I42" s="16">
        <v>18</v>
      </c>
      <c r="J42" s="16">
        <v>16</v>
      </c>
      <c r="K42" s="18">
        <f t="shared" si="1"/>
        <v>79</v>
      </c>
      <c r="L42" s="17">
        <f t="shared" si="2"/>
        <v>47.4</v>
      </c>
      <c r="M42" s="19">
        <f t="shared" si="3"/>
        <v>47.4</v>
      </c>
      <c r="N42" s="20" t="str">
        <f t="shared" si="4"/>
        <v>F</v>
      </c>
    </row>
    <row r="43" ht="25.5" spans="1:14">
      <c r="A43" s="15">
        <v>38</v>
      </c>
      <c r="B43" s="15" t="s">
        <v>89</v>
      </c>
      <c r="C43" s="15" t="s">
        <v>90</v>
      </c>
      <c r="D43" s="16">
        <v>0</v>
      </c>
      <c r="E43" s="8">
        <v>0</v>
      </c>
      <c r="F43" s="16">
        <v>0</v>
      </c>
      <c r="G43" s="17">
        <f t="shared" si="0"/>
        <v>0</v>
      </c>
      <c r="H43" s="16">
        <v>48</v>
      </c>
      <c r="I43" s="16">
        <v>17</v>
      </c>
      <c r="J43" s="16">
        <v>17</v>
      </c>
      <c r="K43" s="18">
        <f t="shared" si="1"/>
        <v>82</v>
      </c>
      <c r="L43" s="17">
        <f t="shared" si="2"/>
        <v>49.2</v>
      </c>
      <c r="M43" s="19">
        <f t="shared" si="3"/>
        <v>49.2</v>
      </c>
      <c r="N43" s="20" t="str">
        <f t="shared" si="4"/>
        <v>F</v>
      </c>
    </row>
    <row r="44" ht="25.5" spans="1:14">
      <c r="A44" s="15">
        <v>39</v>
      </c>
      <c r="B44" s="15" t="s">
        <v>91</v>
      </c>
      <c r="C44" s="15" t="s">
        <v>92</v>
      </c>
      <c r="D44" s="16">
        <v>0</v>
      </c>
      <c r="E44" s="8">
        <v>10</v>
      </c>
      <c r="F44" s="16">
        <v>16</v>
      </c>
      <c r="G44" s="17">
        <f t="shared" si="0"/>
        <v>26</v>
      </c>
      <c r="H44" s="16">
        <v>45</v>
      </c>
      <c r="I44" s="16">
        <v>19</v>
      </c>
      <c r="J44" s="16">
        <v>19</v>
      </c>
      <c r="K44" s="18">
        <f t="shared" si="1"/>
        <v>83</v>
      </c>
      <c r="L44" s="17">
        <f t="shared" si="2"/>
        <v>49.8</v>
      </c>
      <c r="M44" s="19">
        <f t="shared" si="3"/>
        <v>75.8</v>
      </c>
      <c r="N44" s="20" t="str">
        <f t="shared" si="4"/>
        <v>B+</v>
      </c>
    </row>
    <row r="45" ht="25.5" spans="1:14">
      <c r="A45" s="15">
        <v>40</v>
      </c>
      <c r="B45" s="15" t="s">
        <v>93</v>
      </c>
      <c r="C45" s="15" t="s">
        <v>94</v>
      </c>
      <c r="D45" s="16">
        <v>0</v>
      </c>
      <c r="E45" s="8">
        <v>9.5</v>
      </c>
      <c r="F45" s="16">
        <v>20</v>
      </c>
      <c r="G45" s="17">
        <f t="shared" si="0"/>
        <v>29.5</v>
      </c>
      <c r="H45" s="16">
        <v>49</v>
      </c>
      <c r="I45" s="16">
        <v>20</v>
      </c>
      <c r="J45" s="16">
        <v>20</v>
      </c>
      <c r="K45" s="18">
        <f t="shared" si="1"/>
        <v>89</v>
      </c>
      <c r="L45" s="17">
        <f t="shared" si="2"/>
        <v>53.4</v>
      </c>
      <c r="M45" s="19">
        <f t="shared" si="3"/>
        <v>82.9</v>
      </c>
      <c r="N45" s="20" t="str">
        <f t="shared" si="4"/>
        <v>A</v>
      </c>
    </row>
    <row r="46" ht="25.5" spans="1:14">
      <c r="A46" s="15">
        <v>41</v>
      </c>
      <c r="B46" s="15" t="s">
        <v>95</v>
      </c>
      <c r="C46" s="15" t="s">
        <v>96</v>
      </c>
      <c r="D46" s="16">
        <v>0</v>
      </c>
      <c r="E46" s="8">
        <v>10</v>
      </c>
      <c r="F46" s="16">
        <v>16</v>
      </c>
      <c r="G46" s="17">
        <f t="shared" si="0"/>
        <v>26</v>
      </c>
      <c r="H46" s="16">
        <v>45</v>
      </c>
      <c r="I46" s="16">
        <v>16</v>
      </c>
      <c r="J46" s="16">
        <v>16</v>
      </c>
      <c r="K46" s="18">
        <f t="shared" si="1"/>
        <v>77</v>
      </c>
      <c r="L46" s="17">
        <f t="shared" si="2"/>
        <v>46.2</v>
      </c>
      <c r="M46" s="19">
        <f t="shared" si="3"/>
        <v>72.2</v>
      </c>
      <c r="N46" s="20" t="str">
        <f t="shared" si="4"/>
        <v>B</v>
      </c>
    </row>
    <row r="47" ht="25.5" spans="1:14">
      <c r="A47" s="15">
        <v>42</v>
      </c>
      <c r="B47" s="15" t="s">
        <v>97</v>
      </c>
      <c r="C47" s="15" t="s">
        <v>98</v>
      </c>
      <c r="D47" s="16">
        <v>0</v>
      </c>
      <c r="E47" s="8">
        <v>10</v>
      </c>
      <c r="F47" s="16">
        <v>14</v>
      </c>
      <c r="G47" s="17">
        <f t="shared" si="0"/>
        <v>24</v>
      </c>
      <c r="H47" s="16">
        <v>41</v>
      </c>
      <c r="I47" s="16">
        <v>19</v>
      </c>
      <c r="J47" s="16">
        <v>20</v>
      </c>
      <c r="K47" s="18">
        <f t="shared" si="1"/>
        <v>80</v>
      </c>
      <c r="L47" s="17">
        <f t="shared" si="2"/>
        <v>48</v>
      </c>
      <c r="M47" s="19">
        <f t="shared" si="3"/>
        <v>72</v>
      </c>
      <c r="N47" s="20" t="str">
        <f t="shared" si="4"/>
        <v>B</v>
      </c>
    </row>
    <row r="48" ht="25.5" spans="1:14">
      <c r="A48" s="15">
        <v>43</v>
      </c>
      <c r="B48" s="15" t="s">
        <v>99</v>
      </c>
      <c r="C48" s="15" t="s">
        <v>100</v>
      </c>
      <c r="D48" s="16">
        <v>0</v>
      </c>
      <c r="E48" s="8">
        <v>9.5</v>
      </c>
      <c r="F48" s="16">
        <v>16</v>
      </c>
      <c r="G48" s="17">
        <f t="shared" si="0"/>
        <v>25.5</v>
      </c>
      <c r="H48" s="16">
        <v>40</v>
      </c>
      <c r="I48" s="16">
        <v>16</v>
      </c>
      <c r="J48" s="16">
        <v>17</v>
      </c>
      <c r="K48" s="18">
        <f t="shared" si="1"/>
        <v>73</v>
      </c>
      <c r="L48" s="17">
        <f t="shared" si="2"/>
        <v>43.8</v>
      </c>
      <c r="M48" s="19">
        <f t="shared" si="3"/>
        <v>69.3</v>
      </c>
      <c r="N48" s="20" t="str">
        <f t="shared" si="4"/>
        <v>C+</v>
      </c>
    </row>
    <row r="49" ht="25.5" spans="1:14">
      <c r="A49" s="15">
        <v>44</v>
      </c>
      <c r="B49" s="15" t="s">
        <v>101</v>
      </c>
      <c r="C49" s="15" t="s">
        <v>102</v>
      </c>
      <c r="D49" s="16">
        <v>0</v>
      </c>
      <c r="E49" s="8">
        <v>9.5</v>
      </c>
      <c r="F49" s="16">
        <v>14</v>
      </c>
      <c r="G49" s="17">
        <f t="shared" si="0"/>
        <v>23.5</v>
      </c>
      <c r="H49" s="16">
        <v>42</v>
      </c>
      <c r="I49" s="16">
        <v>17</v>
      </c>
      <c r="J49" s="16">
        <v>14</v>
      </c>
      <c r="K49" s="18">
        <f t="shared" si="1"/>
        <v>73</v>
      </c>
      <c r="L49" s="17">
        <f t="shared" si="2"/>
        <v>43.8</v>
      </c>
      <c r="M49" s="19">
        <f t="shared" si="3"/>
        <v>67.3</v>
      </c>
      <c r="N49" s="20" t="str">
        <f t="shared" si="4"/>
        <v>C+</v>
      </c>
    </row>
    <row r="50" ht="25.5" spans="1:14">
      <c r="A50" s="15">
        <v>45</v>
      </c>
      <c r="B50" s="15" t="s">
        <v>103</v>
      </c>
      <c r="C50" s="15" t="s">
        <v>104</v>
      </c>
      <c r="D50" s="16">
        <v>0</v>
      </c>
      <c r="E50" s="8">
        <v>10</v>
      </c>
      <c r="F50" s="16">
        <v>15</v>
      </c>
      <c r="G50" s="17">
        <f t="shared" si="0"/>
        <v>25</v>
      </c>
      <c r="H50" s="16">
        <v>46</v>
      </c>
      <c r="I50" s="16">
        <v>19</v>
      </c>
      <c r="J50" s="16">
        <v>15</v>
      </c>
      <c r="K50" s="18">
        <f t="shared" si="1"/>
        <v>80</v>
      </c>
      <c r="L50" s="17">
        <f t="shared" si="2"/>
        <v>48</v>
      </c>
      <c r="M50" s="19">
        <f t="shared" si="3"/>
        <v>73</v>
      </c>
      <c r="N50" s="20" t="str">
        <f t="shared" si="4"/>
        <v>B</v>
      </c>
    </row>
    <row r="51" ht="25.5" spans="1:14">
      <c r="A51" s="15">
        <v>46</v>
      </c>
      <c r="B51" s="15" t="s">
        <v>105</v>
      </c>
      <c r="C51" s="15" t="s">
        <v>106</v>
      </c>
      <c r="D51" s="16">
        <v>0</v>
      </c>
      <c r="E51" s="8">
        <v>10</v>
      </c>
      <c r="F51" s="16">
        <v>14</v>
      </c>
      <c r="G51" s="17">
        <f t="shared" si="0"/>
        <v>24</v>
      </c>
      <c r="H51" s="16">
        <v>47</v>
      </c>
      <c r="I51" s="16">
        <v>20</v>
      </c>
      <c r="J51" s="16">
        <v>20</v>
      </c>
      <c r="K51" s="18">
        <f t="shared" si="1"/>
        <v>87</v>
      </c>
      <c r="L51" s="17">
        <f t="shared" si="2"/>
        <v>52.2</v>
      </c>
      <c r="M51" s="19">
        <f t="shared" si="3"/>
        <v>76.2</v>
      </c>
      <c r="N51" s="20" t="str">
        <f t="shared" si="4"/>
        <v>B+</v>
      </c>
    </row>
    <row r="52" ht="25.5" spans="1:14">
      <c r="A52" s="15">
        <v>47</v>
      </c>
      <c r="B52" s="15" t="s">
        <v>107</v>
      </c>
      <c r="C52" s="15" t="s">
        <v>108</v>
      </c>
      <c r="D52" s="16">
        <v>0</v>
      </c>
      <c r="E52" s="8">
        <v>7</v>
      </c>
      <c r="F52" s="16">
        <v>13</v>
      </c>
      <c r="G52" s="17">
        <f t="shared" si="0"/>
        <v>20</v>
      </c>
      <c r="H52" s="16">
        <v>43</v>
      </c>
      <c r="I52" s="16">
        <v>20</v>
      </c>
      <c r="J52" s="16">
        <v>17</v>
      </c>
      <c r="K52" s="18">
        <f t="shared" si="1"/>
        <v>80</v>
      </c>
      <c r="L52" s="17">
        <f t="shared" si="2"/>
        <v>48</v>
      </c>
      <c r="M52" s="19">
        <f t="shared" si="3"/>
        <v>68</v>
      </c>
      <c r="N52" s="20" t="str">
        <f t="shared" si="4"/>
        <v>C+</v>
      </c>
    </row>
    <row r="53" ht="25.5" spans="1:14">
      <c r="A53" s="15">
        <v>48</v>
      </c>
      <c r="B53" s="15" t="s">
        <v>109</v>
      </c>
      <c r="C53" s="15" t="s">
        <v>110</v>
      </c>
      <c r="D53" s="16">
        <v>0</v>
      </c>
      <c r="E53" s="8">
        <v>10</v>
      </c>
      <c r="F53" s="16">
        <v>19</v>
      </c>
      <c r="G53" s="17">
        <f t="shared" si="0"/>
        <v>29</v>
      </c>
      <c r="H53" s="16">
        <v>46</v>
      </c>
      <c r="I53" s="16">
        <v>20</v>
      </c>
      <c r="J53" s="16">
        <v>19</v>
      </c>
      <c r="K53" s="18">
        <f t="shared" si="1"/>
        <v>85</v>
      </c>
      <c r="L53" s="17">
        <f t="shared" si="2"/>
        <v>51</v>
      </c>
      <c r="M53" s="19">
        <f t="shared" si="3"/>
        <v>80</v>
      </c>
      <c r="N53" s="20" t="str">
        <f t="shared" si="4"/>
        <v>A</v>
      </c>
    </row>
    <row r="54" ht="25.5" spans="1:14">
      <c r="A54" s="15">
        <v>49</v>
      </c>
      <c r="B54" s="15" t="s">
        <v>111</v>
      </c>
      <c r="C54" s="15" t="s">
        <v>112</v>
      </c>
      <c r="D54" s="16">
        <v>0</v>
      </c>
      <c r="E54" s="8">
        <v>7.5</v>
      </c>
      <c r="F54" s="16">
        <v>18</v>
      </c>
      <c r="G54" s="17">
        <f t="shared" si="0"/>
        <v>25.5</v>
      </c>
      <c r="H54" s="16">
        <v>40</v>
      </c>
      <c r="I54" s="16">
        <v>20</v>
      </c>
      <c r="J54" s="16">
        <v>18</v>
      </c>
      <c r="K54" s="18">
        <f t="shared" si="1"/>
        <v>78</v>
      </c>
      <c r="L54" s="17">
        <f t="shared" si="2"/>
        <v>46.8</v>
      </c>
      <c r="M54" s="19">
        <f t="shared" si="3"/>
        <v>72.3</v>
      </c>
      <c r="N54" s="20" t="str">
        <f t="shared" si="4"/>
        <v>B</v>
      </c>
    </row>
    <row r="55" ht="25.5" spans="1:14">
      <c r="A55" s="15">
        <v>50</v>
      </c>
      <c r="B55" s="15" t="s">
        <v>113</v>
      </c>
      <c r="C55" s="15" t="s">
        <v>114</v>
      </c>
      <c r="D55" s="16">
        <v>0</v>
      </c>
      <c r="E55" s="8">
        <v>9.5</v>
      </c>
      <c r="F55" s="16">
        <v>17</v>
      </c>
      <c r="G55" s="17">
        <f t="shared" si="0"/>
        <v>26.5</v>
      </c>
      <c r="H55" s="16">
        <v>50</v>
      </c>
      <c r="I55" s="16">
        <v>20</v>
      </c>
      <c r="J55" s="16">
        <v>18</v>
      </c>
      <c r="K55" s="18">
        <f t="shared" si="1"/>
        <v>88</v>
      </c>
      <c r="L55" s="17">
        <f t="shared" si="2"/>
        <v>52.8</v>
      </c>
      <c r="M55" s="19">
        <f t="shared" si="3"/>
        <v>79.3</v>
      </c>
      <c r="N55" s="20" t="str">
        <f t="shared" si="4"/>
        <v>B+</v>
      </c>
    </row>
    <row r="56" ht="25.5" spans="1:14">
      <c r="A56" s="15"/>
      <c r="B56" s="15" t="s">
        <v>115</v>
      </c>
      <c r="C56" s="15" t="s">
        <v>116</v>
      </c>
      <c r="D56" s="16">
        <v>0</v>
      </c>
      <c r="E56" s="8">
        <v>5.5</v>
      </c>
      <c r="F56" s="16">
        <v>14</v>
      </c>
      <c r="G56" s="17">
        <f t="shared" si="0"/>
        <v>19.5</v>
      </c>
      <c r="H56" s="16">
        <v>43</v>
      </c>
      <c r="I56" s="16">
        <v>17</v>
      </c>
      <c r="J56" s="16">
        <v>18</v>
      </c>
      <c r="K56" s="18">
        <f t="shared" si="1"/>
        <v>78</v>
      </c>
      <c r="L56" s="17">
        <f t="shared" si="2"/>
        <v>46.8</v>
      </c>
      <c r="M56" s="19">
        <f t="shared" si="3"/>
        <v>66.3</v>
      </c>
      <c r="N56" s="20" t="str">
        <f t="shared" si="4"/>
        <v>C+</v>
      </c>
    </row>
    <row r="57" ht="25.5" spans="1:14">
      <c r="A57" s="15">
        <v>51</v>
      </c>
      <c r="B57" s="15" t="s">
        <v>117</v>
      </c>
      <c r="C57" s="15" t="s">
        <v>118</v>
      </c>
      <c r="D57" s="16">
        <v>0</v>
      </c>
      <c r="E57" s="8">
        <v>10</v>
      </c>
      <c r="F57" s="16">
        <v>14</v>
      </c>
      <c r="G57" s="17">
        <f t="shared" si="0"/>
        <v>24</v>
      </c>
      <c r="H57" s="16">
        <v>49</v>
      </c>
      <c r="I57" s="16">
        <v>20</v>
      </c>
      <c r="J57" s="16">
        <v>20</v>
      </c>
      <c r="K57" s="18">
        <f t="shared" si="1"/>
        <v>89</v>
      </c>
      <c r="L57" s="17">
        <f t="shared" si="2"/>
        <v>53.4</v>
      </c>
      <c r="M57" s="19">
        <f t="shared" si="3"/>
        <v>77.4</v>
      </c>
      <c r="N57" s="20" t="str">
        <f t="shared" si="4"/>
        <v>B+</v>
      </c>
    </row>
    <row r="58" ht="25.5" spans="1:14">
      <c r="A58" s="15">
        <v>52</v>
      </c>
      <c r="B58" s="15" t="s">
        <v>119</v>
      </c>
      <c r="C58" s="15" t="s">
        <v>120</v>
      </c>
      <c r="D58" s="16">
        <v>0</v>
      </c>
      <c r="E58" s="8">
        <v>10</v>
      </c>
      <c r="F58" s="16">
        <v>19</v>
      </c>
      <c r="G58" s="17">
        <f t="shared" si="0"/>
        <v>29</v>
      </c>
      <c r="H58" s="16">
        <v>52</v>
      </c>
      <c r="I58" s="16">
        <v>20</v>
      </c>
      <c r="J58" s="16">
        <v>20</v>
      </c>
      <c r="K58" s="18">
        <f t="shared" si="1"/>
        <v>92</v>
      </c>
      <c r="L58" s="17">
        <f t="shared" si="2"/>
        <v>55.2</v>
      </c>
      <c r="M58" s="19">
        <f t="shared" si="3"/>
        <v>84.2</v>
      </c>
      <c r="N58" s="20" t="str">
        <f t="shared" si="4"/>
        <v>A</v>
      </c>
    </row>
    <row r="59" ht="25.5" spans="1:14">
      <c r="A59" s="15">
        <v>53</v>
      </c>
      <c r="B59" s="15" t="s">
        <v>121</v>
      </c>
      <c r="C59" s="15" t="s">
        <v>122</v>
      </c>
      <c r="D59" s="16">
        <v>0</v>
      </c>
      <c r="E59" s="8">
        <v>9</v>
      </c>
      <c r="F59" s="16">
        <v>17</v>
      </c>
      <c r="G59" s="17">
        <f t="shared" si="0"/>
        <v>26</v>
      </c>
      <c r="H59" s="16">
        <v>49</v>
      </c>
      <c r="I59" s="16">
        <v>20</v>
      </c>
      <c r="J59" s="16">
        <v>19</v>
      </c>
      <c r="K59" s="18">
        <f t="shared" si="1"/>
        <v>88</v>
      </c>
      <c r="L59" s="17">
        <f t="shared" si="2"/>
        <v>52.8</v>
      </c>
      <c r="M59" s="19">
        <f t="shared" si="3"/>
        <v>78.8</v>
      </c>
      <c r="N59" s="20" t="str">
        <f t="shared" si="4"/>
        <v>B+</v>
      </c>
    </row>
    <row r="60" ht="25.5" spans="1:14">
      <c r="A60" s="15">
        <v>54</v>
      </c>
      <c r="B60" s="15" t="s">
        <v>123</v>
      </c>
      <c r="C60" s="15" t="s">
        <v>124</v>
      </c>
      <c r="D60" s="16">
        <v>0</v>
      </c>
      <c r="E60" s="8">
        <v>10</v>
      </c>
      <c r="F60" s="16">
        <v>14</v>
      </c>
      <c r="G60" s="17">
        <f t="shared" si="0"/>
        <v>24</v>
      </c>
      <c r="H60" s="16">
        <v>49</v>
      </c>
      <c r="I60" s="16">
        <v>20</v>
      </c>
      <c r="J60" s="16">
        <v>18</v>
      </c>
      <c r="K60" s="18">
        <f t="shared" si="1"/>
        <v>87</v>
      </c>
      <c r="L60" s="17">
        <f t="shared" si="2"/>
        <v>52.2</v>
      </c>
      <c r="M60" s="19">
        <f t="shared" si="3"/>
        <v>76.2</v>
      </c>
      <c r="N60" s="20" t="str">
        <f t="shared" si="4"/>
        <v>B+</v>
      </c>
    </row>
    <row r="61" ht="25.5" spans="1:14">
      <c r="A61" s="15">
        <v>55</v>
      </c>
      <c r="B61" s="15" t="s">
        <v>125</v>
      </c>
      <c r="C61" s="15" t="s">
        <v>126</v>
      </c>
      <c r="D61" s="16">
        <v>0</v>
      </c>
      <c r="E61" s="8">
        <v>10</v>
      </c>
      <c r="F61" s="16">
        <v>15</v>
      </c>
      <c r="G61" s="17">
        <f t="shared" si="0"/>
        <v>25</v>
      </c>
      <c r="H61" s="16">
        <v>50</v>
      </c>
      <c r="I61" s="16">
        <v>19</v>
      </c>
      <c r="J61" s="16">
        <v>19</v>
      </c>
      <c r="K61" s="18">
        <f t="shared" si="1"/>
        <v>88</v>
      </c>
      <c r="L61" s="17">
        <f t="shared" si="2"/>
        <v>52.8</v>
      </c>
      <c r="M61" s="19">
        <f t="shared" si="3"/>
        <v>77.8</v>
      </c>
      <c r="N61" s="20" t="str">
        <f t="shared" si="4"/>
        <v>B+</v>
      </c>
    </row>
    <row r="62" ht="25.5" spans="1:14">
      <c r="A62" s="15">
        <v>56</v>
      </c>
      <c r="B62" s="15" t="s">
        <v>127</v>
      </c>
      <c r="C62" s="15" t="s">
        <v>128</v>
      </c>
      <c r="D62" s="16">
        <v>0</v>
      </c>
      <c r="E62" s="8">
        <v>10</v>
      </c>
      <c r="F62" s="16">
        <v>13</v>
      </c>
      <c r="G62" s="17">
        <f t="shared" si="0"/>
        <v>23</v>
      </c>
      <c r="H62" s="16">
        <v>49</v>
      </c>
      <c r="I62" s="16">
        <v>19</v>
      </c>
      <c r="J62" s="16">
        <v>19</v>
      </c>
      <c r="K62" s="18">
        <f t="shared" si="1"/>
        <v>87</v>
      </c>
      <c r="L62" s="17">
        <f t="shared" si="2"/>
        <v>52.2</v>
      </c>
      <c r="M62" s="19">
        <f t="shared" si="3"/>
        <v>75.2</v>
      </c>
      <c r="N62" s="20" t="str">
        <f t="shared" si="4"/>
        <v>B+</v>
      </c>
    </row>
    <row r="63" ht="25.5" spans="1:14">
      <c r="A63" s="15">
        <v>57</v>
      </c>
      <c r="B63" s="15" t="s">
        <v>129</v>
      </c>
      <c r="C63" s="15" t="s">
        <v>130</v>
      </c>
      <c r="D63" s="16">
        <v>0</v>
      </c>
      <c r="E63" s="8">
        <v>9.5</v>
      </c>
      <c r="F63" s="16">
        <v>19</v>
      </c>
      <c r="G63" s="17">
        <f t="shared" si="0"/>
        <v>28.5</v>
      </c>
      <c r="H63" s="16">
        <v>50</v>
      </c>
      <c r="I63" s="16">
        <v>19</v>
      </c>
      <c r="J63" s="16">
        <v>19</v>
      </c>
      <c r="K63" s="18">
        <f t="shared" si="1"/>
        <v>88</v>
      </c>
      <c r="L63" s="17">
        <f t="shared" si="2"/>
        <v>52.8</v>
      </c>
      <c r="M63" s="19">
        <f t="shared" si="3"/>
        <v>81.3</v>
      </c>
      <c r="N63" s="20" t="str">
        <f t="shared" si="4"/>
        <v>A</v>
      </c>
    </row>
    <row r="64" ht="25.5" spans="1:14">
      <c r="A64" s="15">
        <v>58</v>
      </c>
      <c r="B64" s="15" t="s">
        <v>131</v>
      </c>
      <c r="C64" s="15" t="s">
        <v>132</v>
      </c>
      <c r="D64" s="16">
        <v>0</v>
      </c>
      <c r="E64" s="8">
        <v>8</v>
      </c>
      <c r="F64" s="16">
        <v>19</v>
      </c>
      <c r="G64" s="17">
        <f t="shared" si="0"/>
        <v>27</v>
      </c>
      <c r="H64" s="16">
        <v>46</v>
      </c>
      <c r="I64" s="16">
        <v>19</v>
      </c>
      <c r="J64" s="16">
        <v>19</v>
      </c>
      <c r="K64" s="18">
        <f t="shared" si="1"/>
        <v>84</v>
      </c>
      <c r="L64" s="17">
        <f t="shared" si="2"/>
        <v>50.4</v>
      </c>
      <c r="M64" s="19">
        <f t="shared" si="3"/>
        <v>77.4</v>
      </c>
      <c r="N64" s="20" t="str">
        <f t="shared" si="4"/>
        <v>B+</v>
      </c>
    </row>
    <row r="65" ht="25.5" spans="1:14">
      <c r="A65" s="15">
        <v>59</v>
      </c>
      <c r="B65" s="15" t="s">
        <v>133</v>
      </c>
      <c r="C65" s="15" t="s">
        <v>134</v>
      </c>
      <c r="D65" s="16">
        <v>0</v>
      </c>
      <c r="E65" s="8">
        <v>3</v>
      </c>
      <c r="F65" s="16">
        <v>16</v>
      </c>
      <c r="G65" s="17">
        <f t="shared" si="0"/>
        <v>19</v>
      </c>
      <c r="H65" s="16">
        <v>41</v>
      </c>
      <c r="I65" s="16">
        <v>17</v>
      </c>
      <c r="J65" s="16">
        <v>15</v>
      </c>
      <c r="K65" s="18">
        <f t="shared" si="1"/>
        <v>73</v>
      </c>
      <c r="L65" s="17">
        <f t="shared" si="2"/>
        <v>43.8</v>
      </c>
      <c r="M65" s="19">
        <f t="shared" si="3"/>
        <v>62.8</v>
      </c>
      <c r="N65" s="20" t="str">
        <f t="shared" si="4"/>
        <v>C</v>
      </c>
    </row>
    <row r="66" ht="25.5" spans="1:14">
      <c r="A66" s="15">
        <v>60</v>
      </c>
      <c r="B66" s="15" t="s">
        <v>135</v>
      </c>
      <c r="C66" s="15" t="s">
        <v>136</v>
      </c>
      <c r="D66" s="16">
        <v>0</v>
      </c>
      <c r="E66" s="8">
        <v>10</v>
      </c>
      <c r="F66" s="16">
        <v>17</v>
      </c>
      <c r="G66" s="17">
        <f t="shared" si="0"/>
        <v>27</v>
      </c>
      <c r="H66" s="16">
        <v>46</v>
      </c>
      <c r="I66" s="16">
        <v>20</v>
      </c>
      <c r="J66" s="16">
        <v>14</v>
      </c>
      <c r="K66" s="18">
        <f t="shared" si="1"/>
        <v>80</v>
      </c>
      <c r="L66" s="17">
        <f t="shared" si="2"/>
        <v>48</v>
      </c>
      <c r="M66" s="19">
        <f t="shared" si="3"/>
        <v>75</v>
      </c>
      <c r="N66" s="20" t="str">
        <f t="shared" si="4"/>
        <v>B+</v>
      </c>
    </row>
    <row r="67" ht="25.5" spans="1:14">
      <c r="A67" s="15">
        <v>61</v>
      </c>
      <c r="B67" s="15" t="s">
        <v>137</v>
      </c>
      <c r="C67" s="15" t="s">
        <v>138</v>
      </c>
      <c r="D67" s="16">
        <v>0</v>
      </c>
      <c r="E67" s="8">
        <v>10</v>
      </c>
      <c r="F67" s="16">
        <v>18</v>
      </c>
      <c r="G67" s="17">
        <f t="shared" si="0"/>
        <v>28</v>
      </c>
      <c r="H67" s="16">
        <v>38</v>
      </c>
      <c r="I67" s="16">
        <v>18</v>
      </c>
      <c r="J67" s="16">
        <v>20</v>
      </c>
      <c r="K67" s="18">
        <f t="shared" si="1"/>
        <v>76</v>
      </c>
      <c r="L67" s="17">
        <f t="shared" si="2"/>
        <v>45.6</v>
      </c>
      <c r="M67" s="19">
        <f t="shared" si="3"/>
        <v>73.6</v>
      </c>
      <c r="N67" s="20" t="str">
        <f t="shared" si="4"/>
        <v>B</v>
      </c>
    </row>
    <row r="68" ht="25.5" spans="1:14">
      <c r="A68" s="15">
        <v>62</v>
      </c>
      <c r="B68" s="15" t="s">
        <v>139</v>
      </c>
      <c r="C68" s="15" t="s">
        <v>140</v>
      </c>
      <c r="D68" s="16">
        <v>0</v>
      </c>
      <c r="E68" s="8">
        <v>7</v>
      </c>
      <c r="F68" s="16">
        <v>19</v>
      </c>
      <c r="G68" s="17">
        <f t="shared" si="0"/>
        <v>26</v>
      </c>
      <c r="H68" s="16">
        <v>46</v>
      </c>
      <c r="I68" s="16">
        <v>18</v>
      </c>
      <c r="J68" s="16">
        <v>19</v>
      </c>
      <c r="K68" s="18">
        <f t="shared" si="1"/>
        <v>83</v>
      </c>
      <c r="L68" s="17">
        <f t="shared" si="2"/>
        <v>49.8</v>
      </c>
      <c r="M68" s="19">
        <f t="shared" si="3"/>
        <v>75.8</v>
      </c>
      <c r="N68" s="20" t="str">
        <f t="shared" si="4"/>
        <v>B+</v>
      </c>
    </row>
    <row r="69" ht="25.5" spans="1:14">
      <c r="A69" s="15">
        <v>63</v>
      </c>
      <c r="B69" s="15" t="s">
        <v>141</v>
      </c>
      <c r="C69" s="15" t="s">
        <v>142</v>
      </c>
      <c r="D69" s="16">
        <v>0</v>
      </c>
      <c r="E69" s="8">
        <v>0</v>
      </c>
      <c r="F69" s="16">
        <v>20</v>
      </c>
      <c r="G69" s="17">
        <f t="shared" si="0"/>
        <v>20</v>
      </c>
      <c r="H69" s="16">
        <v>52</v>
      </c>
      <c r="I69" s="16">
        <v>20</v>
      </c>
      <c r="J69" s="16">
        <v>18</v>
      </c>
      <c r="K69" s="18">
        <f t="shared" si="1"/>
        <v>90</v>
      </c>
      <c r="L69" s="17">
        <f t="shared" si="2"/>
        <v>54</v>
      </c>
      <c r="M69" s="19">
        <f t="shared" si="3"/>
        <v>74</v>
      </c>
      <c r="N69" s="20" t="str">
        <f t="shared" si="4"/>
        <v>B</v>
      </c>
    </row>
    <row r="70" ht="25.5" spans="1:14">
      <c r="A70" s="15">
        <v>64</v>
      </c>
      <c r="B70" s="15" t="s">
        <v>143</v>
      </c>
      <c r="C70" s="15" t="s">
        <v>144</v>
      </c>
      <c r="D70" s="16">
        <v>0</v>
      </c>
      <c r="E70" s="8">
        <v>5</v>
      </c>
      <c r="F70" s="16">
        <v>15</v>
      </c>
      <c r="G70" s="17">
        <f t="shared" si="0"/>
        <v>20</v>
      </c>
      <c r="H70" s="16">
        <v>42</v>
      </c>
      <c r="I70" s="16">
        <v>17</v>
      </c>
      <c r="J70" s="16">
        <v>16</v>
      </c>
      <c r="K70" s="18">
        <f t="shared" si="1"/>
        <v>75</v>
      </c>
      <c r="L70" s="17">
        <f t="shared" si="2"/>
        <v>45</v>
      </c>
      <c r="M70" s="19">
        <f t="shared" si="3"/>
        <v>65</v>
      </c>
      <c r="N70" s="20" t="str">
        <f t="shared" si="4"/>
        <v>C+</v>
      </c>
    </row>
    <row r="71" ht="25.5" spans="1:14">
      <c r="A71" s="15">
        <v>65</v>
      </c>
      <c r="B71" s="15" t="s">
        <v>145</v>
      </c>
      <c r="C71" s="15" t="s">
        <v>146</v>
      </c>
      <c r="D71" s="16">
        <v>0</v>
      </c>
      <c r="E71" s="8">
        <v>10</v>
      </c>
      <c r="F71" s="16">
        <v>19</v>
      </c>
      <c r="G71" s="17">
        <f t="shared" ref="G71:G131" si="5">SUM(F71,E71,D71)</f>
        <v>29</v>
      </c>
      <c r="H71" s="16">
        <v>42</v>
      </c>
      <c r="I71" s="16">
        <v>13</v>
      </c>
      <c r="J71" s="16">
        <v>18</v>
      </c>
      <c r="K71" s="18">
        <f t="shared" si="1"/>
        <v>73</v>
      </c>
      <c r="L71" s="17">
        <f t="shared" si="2"/>
        <v>43.8</v>
      </c>
      <c r="M71" s="19">
        <f t="shared" si="3"/>
        <v>72.8</v>
      </c>
      <c r="N71" s="20" t="str">
        <f t="shared" si="4"/>
        <v>B</v>
      </c>
    </row>
    <row r="72" ht="25.5" spans="1:14">
      <c r="A72" s="15">
        <v>66</v>
      </c>
      <c r="B72" s="15" t="s">
        <v>147</v>
      </c>
      <c r="C72" s="15" t="s">
        <v>148</v>
      </c>
      <c r="D72" s="16">
        <v>0</v>
      </c>
      <c r="E72" s="8">
        <v>9.5</v>
      </c>
      <c r="F72" s="16">
        <v>17</v>
      </c>
      <c r="G72" s="17">
        <f t="shared" si="5"/>
        <v>26.5</v>
      </c>
      <c r="H72" s="16">
        <v>49</v>
      </c>
      <c r="I72" s="16">
        <v>20</v>
      </c>
      <c r="J72" s="16">
        <v>19</v>
      </c>
      <c r="K72" s="18">
        <f t="shared" ref="K72:K129" si="6">SUM(H72,I72,J72)</f>
        <v>88</v>
      </c>
      <c r="L72" s="17">
        <f t="shared" ref="L72:L129" si="7">SUM(K72/100*60)</f>
        <v>52.8</v>
      </c>
      <c r="M72" s="19">
        <f t="shared" ref="M72:M129" si="8">SUM(L72,G72)</f>
        <v>79.3</v>
      </c>
      <c r="N72" s="20" t="str">
        <f t="shared" ref="N72:N129" si="9">IF(M72&lt;=49.9,"F",IF(M72&lt;=54.9,"D",IF(M72&lt;=59.9,"D+",IF(M72&lt;=64.9,"C",IF(M72&lt;=69.9,"C+",IF(M72&lt;=74.9,"B",IF(M72&lt;=79.9,"B+",IF(M72&gt;=80,"A"))))))))</f>
        <v>B+</v>
      </c>
    </row>
    <row r="73" ht="25.5" spans="1:14">
      <c r="A73" s="15">
        <v>67</v>
      </c>
      <c r="B73" s="15" t="s">
        <v>149</v>
      </c>
      <c r="C73" s="15" t="s">
        <v>150</v>
      </c>
      <c r="D73" s="16">
        <v>0</v>
      </c>
      <c r="E73" s="8">
        <v>6</v>
      </c>
      <c r="F73" s="16">
        <v>16</v>
      </c>
      <c r="G73" s="17">
        <f t="shared" si="5"/>
        <v>22</v>
      </c>
      <c r="H73" s="16">
        <v>46</v>
      </c>
      <c r="I73" s="16">
        <v>12</v>
      </c>
      <c r="J73" s="16">
        <v>14</v>
      </c>
      <c r="K73" s="18">
        <f t="shared" si="6"/>
        <v>72</v>
      </c>
      <c r="L73" s="17">
        <f t="shared" si="7"/>
        <v>43.2</v>
      </c>
      <c r="M73" s="19">
        <f t="shared" si="8"/>
        <v>65.2</v>
      </c>
      <c r="N73" s="20" t="str">
        <f t="shared" si="9"/>
        <v>C+</v>
      </c>
    </row>
    <row r="74" ht="25.5" spans="1:14">
      <c r="A74" s="15">
        <v>68</v>
      </c>
      <c r="B74" s="15" t="s">
        <v>151</v>
      </c>
      <c r="C74" s="15" t="s">
        <v>152</v>
      </c>
      <c r="D74" s="16">
        <v>0</v>
      </c>
      <c r="E74" s="8">
        <v>7</v>
      </c>
      <c r="F74" s="16">
        <v>19</v>
      </c>
      <c r="G74" s="17">
        <f t="shared" si="5"/>
        <v>26</v>
      </c>
      <c r="H74" s="16">
        <v>47</v>
      </c>
      <c r="I74" s="16">
        <v>18</v>
      </c>
      <c r="J74" s="16">
        <v>8</v>
      </c>
      <c r="K74" s="18">
        <f t="shared" si="6"/>
        <v>73</v>
      </c>
      <c r="L74" s="17">
        <f t="shared" si="7"/>
        <v>43.8</v>
      </c>
      <c r="M74" s="19">
        <f t="shared" si="8"/>
        <v>69.8</v>
      </c>
      <c r="N74" s="20" t="str">
        <f t="shared" si="9"/>
        <v>C+</v>
      </c>
    </row>
    <row r="75" ht="25.5" spans="1:14">
      <c r="A75" s="15">
        <v>69</v>
      </c>
      <c r="B75" s="15" t="s">
        <v>153</v>
      </c>
      <c r="C75" s="15" t="s">
        <v>154</v>
      </c>
      <c r="D75" s="16">
        <v>0</v>
      </c>
      <c r="E75" s="8">
        <v>10</v>
      </c>
      <c r="F75" s="16">
        <v>18</v>
      </c>
      <c r="G75" s="17">
        <f t="shared" si="5"/>
        <v>28</v>
      </c>
      <c r="H75" s="16">
        <v>50</v>
      </c>
      <c r="I75" s="16">
        <v>19</v>
      </c>
      <c r="J75" s="16">
        <v>15</v>
      </c>
      <c r="K75" s="18">
        <f t="shared" si="6"/>
        <v>84</v>
      </c>
      <c r="L75" s="17">
        <f t="shared" si="7"/>
        <v>50.4</v>
      </c>
      <c r="M75" s="19">
        <f t="shared" si="8"/>
        <v>78.4</v>
      </c>
      <c r="N75" s="20" t="str">
        <f t="shared" si="9"/>
        <v>B+</v>
      </c>
    </row>
    <row r="76" ht="25.5" spans="1:14">
      <c r="A76" s="15">
        <v>70</v>
      </c>
      <c r="B76" s="15" t="s">
        <v>155</v>
      </c>
      <c r="C76" s="15" t="s">
        <v>156</v>
      </c>
      <c r="D76" s="16">
        <v>0</v>
      </c>
      <c r="E76" s="8">
        <v>8</v>
      </c>
      <c r="F76" s="16">
        <v>16</v>
      </c>
      <c r="G76" s="17">
        <f t="shared" si="5"/>
        <v>24</v>
      </c>
      <c r="H76" s="16">
        <v>36</v>
      </c>
      <c r="I76" s="16">
        <v>17</v>
      </c>
      <c r="J76" s="16">
        <v>19</v>
      </c>
      <c r="K76" s="18">
        <f t="shared" si="6"/>
        <v>72</v>
      </c>
      <c r="L76" s="17">
        <f t="shared" si="7"/>
        <v>43.2</v>
      </c>
      <c r="M76" s="19">
        <f t="shared" si="8"/>
        <v>67.2</v>
      </c>
      <c r="N76" s="20" t="str">
        <f t="shared" si="9"/>
        <v>C+</v>
      </c>
    </row>
    <row r="77" ht="25.5" spans="1:14">
      <c r="A77" s="15">
        <v>71</v>
      </c>
      <c r="B77" s="15" t="s">
        <v>157</v>
      </c>
      <c r="C77" s="15" t="s">
        <v>158</v>
      </c>
      <c r="D77" s="16">
        <v>0</v>
      </c>
      <c r="E77" s="8">
        <v>10</v>
      </c>
      <c r="F77" s="16">
        <v>20</v>
      </c>
      <c r="G77" s="17">
        <f t="shared" si="5"/>
        <v>30</v>
      </c>
      <c r="H77" s="16">
        <v>48</v>
      </c>
      <c r="I77" s="16">
        <v>18</v>
      </c>
      <c r="J77" s="16">
        <v>18</v>
      </c>
      <c r="K77" s="18">
        <f t="shared" si="6"/>
        <v>84</v>
      </c>
      <c r="L77" s="17">
        <f t="shared" si="7"/>
        <v>50.4</v>
      </c>
      <c r="M77" s="19">
        <f t="shared" si="8"/>
        <v>80.4</v>
      </c>
      <c r="N77" s="20" t="str">
        <f t="shared" si="9"/>
        <v>A</v>
      </c>
    </row>
    <row r="78" ht="25.5" spans="1:14">
      <c r="A78" s="15">
        <v>72</v>
      </c>
      <c r="B78" s="15" t="s">
        <v>159</v>
      </c>
      <c r="C78" s="15" t="s">
        <v>160</v>
      </c>
      <c r="D78" s="16">
        <v>0</v>
      </c>
      <c r="E78" s="8">
        <v>9</v>
      </c>
      <c r="F78" s="16">
        <v>18</v>
      </c>
      <c r="G78" s="17">
        <f t="shared" si="5"/>
        <v>27</v>
      </c>
      <c r="H78" s="16">
        <v>48</v>
      </c>
      <c r="I78" s="16">
        <v>18</v>
      </c>
      <c r="J78" s="16">
        <v>18</v>
      </c>
      <c r="K78" s="18">
        <f t="shared" si="6"/>
        <v>84</v>
      </c>
      <c r="L78" s="17">
        <f t="shared" si="7"/>
        <v>50.4</v>
      </c>
      <c r="M78" s="19">
        <f t="shared" si="8"/>
        <v>77.4</v>
      </c>
      <c r="N78" s="20" t="str">
        <f t="shared" si="9"/>
        <v>B+</v>
      </c>
    </row>
    <row r="79" ht="25.5" spans="1:14">
      <c r="A79" s="15">
        <v>73</v>
      </c>
      <c r="B79" s="15" t="s">
        <v>161</v>
      </c>
      <c r="C79" s="15" t="s">
        <v>162</v>
      </c>
      <c r="D79" s="16">
        <v>0</v>
      </c>
      <c r="E79" s="8">
        <v>9</v>
      </c>
      <c r="F79" s="16">
        <v>19</v>
      </c>
      <c r="G79" s="17">
        <f t="shared" si="5"/>
        <v>28</v>
      </c>
      <c r="H79" s="16">
        <v>45</v>
      </c>
      <c r="I79" s="16">
        <v>11</v>
      </c>
      <c r="J79" s="16">
        <v>16</v>
      </c>
      <c r="K79" s="18">
        <f t="shared" si="6"/>
        <v>72</v>
      </c>
      <c r="L79" s="17">
        <f t="shared" si="7"/>
        <v>43.2</v>
      </c>
      <c r="M79" s="19">
        <f t="shared" si="8"/>
        <v>71.2</v>
      </c>
      <c r="N79" s="20" t="str">
        <f t="shared" si="9"/>
        <v>B</v>
      </c>
    </row>
    <row r="80" ht="25.5" spans="1:14">
      <c r="A80" s="15">
        <v>74</v>
      </c>
      <c r="B80" s="15" t="s">
        <v>163</v>
      </c>
      <c r="C80" s="15" t="s">
        <v>164</v>
      </c>
      <c r="D80" s="16">
        <v>0</v>
      </c>
      <c r="E80" s="8">
        <v>10</v>
      </c>
      <c r="F80" s="16">
        <v>17</v>
      </c>
      <c r="G80" s="17">
        <f t="shared" si="5"/>
        <v>27</v>
      </c>
      <c r="H80" s="16">
        <v>51</v>
      </c>
      <c r="I80" s="16">
        <v>19</v>
      </c>
      <c r="J80" s="16">
        <v>17</v>
      </c>
      <c r="K80" s="18">
        <f t="shared" si="6"/>
        <v>87</v>
      </c>
      <c r="L80" s="17">
        <f t="shared" si="7"/>
        <v>52.2</v>
      </c>
      <c r="M80" s="19">
        <f t="shared" si="8"/>
        <v>79.2</v>
      </c>
      <c r="N80" s="20" t="str">
        <f t="shared" si="9"/>
        <v>B+</v>
      </c>
    </row>
    <row r="81" ht="25.5" spans="1:14">
      <c r="A81" s="15">
        <v>75</v>
      </c>
      <c r="B81" s="15" t="s">
        <v>165</v>
      </c>
      <c r="C81" s="15" t="s">
        <v>166</v>
      </c>
      <c r="D81" s="16">
        <v>0</v>
      </c>
      <c r="E81" s="8">
        <v>0</v>
      </c>
      <c r="F81" s="16">
        <v>18</v>
      </c>
      <c r="G81" s="17">
        <f t="shared" si="5"/>
        <v>18</v>
      </c>
      <c r="H81" s="16">
        <v>50</v>
      </c>
      <c r="I81" s="16">
        <v>18</v>
      </c>
      <c r="J81" s="16">
        <v>14</v>
      </c>
      <c r="K81" s="18">
        <f t="shared" si="6"/>
        <v>82</v>
      </c>
      <c r="L81" s="17">
        <f t="shared" si="7"/>
        <v>49.2</v>
      </c>
      <c r="M81" s="19">
        <f t="shared" si="8"/>
        <v>67.2</v>
      </c>
      <c r="N81" s="20" t="str">
        <f t="shared" si="9"/>
        <v>C+</v>
      </c>
    </row>
    <row r="82" ht="25.5" spans="1:14">
      <c r="A82" s="15">
        <v>76</v>
      </c>
      <c r="B82" s="15" t="s">
        <v>167</v>
      </c>
      <c r="C82" s="15" t="s">
        <v>168</v>
      </c>
      <c r="D82" s="16">
        <v>0</v>
      </c>
      <c r="E82" s="8">
        <v>10</v>
      </c>
      <c r="F82" s="16">
        <v>20</v>
      </c>
      <c r="G82" s="17">
        <f t="shared" si="5"/>
        <v>30</v>
      </c>
      <c r="H82" s="16">
        <v>53</v>
      </c>
      <c r="I82" s="16">
        <v>20</v>
      </c>
      <c r="J82" s="16">
        <v>15</v>
      </c>
      <c r="K82" s="18">
        <f t="shared" si="6"/>
        <v>88</v>
      </c>
      <c r="L82" s="17">
        <f t="shared" si="7"/>
        <v>52.8</v>
      </c>
      <c r="M82" s="19">
        <f t="shared" si="8"/>
        <v>82.8</v>
      </c>
      <c r="N82" s="20" t="str">
        <f t="shared" si="9"/>
        <v>A</v>
      </c>
    </row>
    <row r="83" ht="25.5" spans="1:14">
      <c r="A83" s="15">
        <v>77</v>
      </c>
      <c r="B83" s="15" t="s">
        <v>169</v>
      </c>
      <c r="C83" s="15" t="s">
        <v>170</v>
      </c>
      <c r="D83" s="16">
        <v>0</v>
      </c>
      <c r="E83" s="8">
        <v>5</v>
      </c>
      <c r="F83" s="16">
        <v>17</v>
      </c>
      <c r="G83" s="17">
        <f t="shared" si="5"/>
        <v>22</v>
      </c>
      <c r="H83" s="16">
        <v>47</v>
      </c>
      <c r="I83" s="16">
        <v>20</v>
      </c>
      <c r="J83" s="16">
        <v>17</v>
      </c>
      <c r="K83" s="18">
        <f t="shared" si="6"/>
        <v>84</v>
      </c>
      <c r="L83" s="17">
        <f t="shared" si="7"/>
        <v>50.4</v>
      </c>
      <c r="M83" s="19">
        <f t="shared" si="8"/>
        <v>72.4</v>
      </c>
      <c r="N83" s="20" t="str">
        <f t="shared" si="9"/>
        <v>B</v>
      </c>
    </row>
    <row r="84" ht="25.5" spans="1:14">
      <c r="A84" s="15">
        <v>78</v>
      </c>
      <c r="B84" s="15" t="s">
        <v>171</v>
      </c>
      <c r="C84" s="15" t="s">
        <v>172</v>
      </c>
      <c r="D84" s="16">
        <v>0</v>
      </c>
      <c r="E84" s="8">
        <v>10</v>
      </c>
      <c r="F84" s="16">
        <v>16</v>
      </c>
      <c r="G84" s="17">
        <f t="shared" si="5"/>
        <v>26</v>
      </c>
      <c r="H84" s="16">
        <v>46</v>
      </c>
      <c r="I84" s="16">
        <v>20</v>
      </c>
      <c r="J84" s="16">
        <v>19</v>
      </c>
      <c r="K84" s="18">
        <f t="shared" si="6"/>
        <v>85</v>
      </c>
      <c r="L84" s="17">
        <f t="shared" si="7"/>
        <v>51</v>
      </c>
      <c r="M84" s="19">
        <f t="shared" si="8"/>
        <v>77</v>
      </c>
      <c r="N84" s="20" t="str">
        <f t="shared" si="9"/>
        <v>B+</v>
      </c>
    </row>
    <row r="85" ht="25.5" spans="1:14">
      <c r="A85" s="15">
        <v>79</v>
      </c>
      <c r="B85" s="15" t="s">
        <v>173</v>
      </c>
      <c r="C85" s="15" t="s">
        <v>174</v>
      </c>
      <c r="D85" s="16">
        <v>0</v>
      </c>
      <c r="E85" s="8">
        <v>6</v>
      </c>
      <c r="F85" s="16">
        <v>19</v>
      </c>
      <c r="G85" s="17">
        <f t="shared" si="5"/>
        <v>25</v>
      </c>
      <c r="H85" s="16">
        <v>43</v>
      </c>
      <c r="I85" s="16">
        <v>20</v>
      </c>
      <c r="J85" s="16">
        <v>18</v>
      </c>
      <c r="K85" s="18">
        <f t="shared" si="6"/>
        <v>81</v>
      </c>
      <c r="L85" s="17">
        <f t="shared" si="7"/>
        <v>48.6</v>
      </c>
      <c r="M85" s="19">
        <f t="shared" si="8"/>
        <v>73.6</v>
      </c>
      <c r="N85" s="20" t="str">
        <f t="shared" si="9"/>
        <v>B</v>
      </c>
    </row>
    <row r="86" ht="25.5" spans="1:14">
      <c r="A86" s="15">
        <v>80</v>
      </c>
      <c r="B86" s="15" t="s">
        <v>175</v>
      </c>
      <c r="C86" s="15" t="s">
        <v>176</v>
      </c>
      <c r="D86" s="16">
        <v>9</v>
      </c>
      <c r="E86" s="8">
        <v>9</v>
      </c>
      <c r="F86" s="16">
        <v>18</v>
      </c>
      <c r="G86" s="17">
        <f t="shared" si="5"/>
        <v>36</v>
      </c>
      <c r="H86" s="16">
        <v>50</v>
      </c>
      <c r="I86" s="16">
        <v>18</v>
      </c>
      <c r="J86" s="16">
        <v>16</v>
      </c>
      <c r="K86" s="18">
        <f t="shared" si="6"/>
        <v>84</v>
      </c>
      <c r="L86" s="17">
        <f t="shared" si="7"/>
        <v>50.4</v>
      </c>
      <c r="M86" s="19">
        <f t="shared" si="8"/>
        <v>86.4</v>
      </c>
      <c r="N86" s="20" t="str">
        <f t="shared" si="9"/>
        <v>A</v>
      </c>
    </row>
    <row r="87" ht="25.5" spans="1:14">
      <c r="A87" s="15">
        <v>81</v>
      </c>
      <c r="B87" s="15" t="s">
        <v>177</v>
      </c>
      <c r="C87" s="15" t="s">
        <v>178</v>
      </c>
      <c r="D87" s="16">
        <v>0</v>
      </c>
      <c r="E87" s="8">
        <v>9</v>
      </c>
      <c r="F87" s="16">
        <v>20</v>
      </c>
      <c r="G87" s="17">
        <f t="shared" si="5"/>
        <v>29</v>
      </c>
      <c r="H87" s="16">
        <v>47</v>
      </c>
      <c r="I87" s="16">
        <v>17</v>
      </c>
      <c r="J87" s="16">
        <v>14</v>
      </c>
      <c r="K87" s="18">
        <f t="shared" si="6"/>
        <v>78</v>
      </c>
      <c r="L87" s="17">
        <f t="shared" si="7"/>
        <v>46.8</v>
      </c>
      <c r="M87" s="19">
        <f t="shared" si="8"/>
        <v>75.8</v>
      </c>
      <c r="N87" s="20" t="str">
        <f t="shared" si="9"/>
        <v>B+</v>
      </c>
    </row>
    <row r="88" ht="25.5" spans="1:14">
      <c r="A88" s="15">
        <v>83</v>
      </c>
      <c r="B88" s="15" t="s">
        <v>179</v>
      </c>
      <c r="C88" s="15" t="s">
        <v>180</v>
      </c>
      <c r="D88" s="16">
        <v>0</v>
      </c>
      <c r="E88" s="8">
        <v>0</v>
      </c>
      <c r="F88" s="16">
        <v>16</v>
      </c>
      <c r="G88" s="17">
        <f t="shared" si="5"/>
        <v>16</v>
      </c>
      <c r="H88" s="16">
        <v>49</v>
      </c>
      <c r="I88" s="16">
        <v>20</v>
      </c>
      <c r="J88" s="16">
        <v>20</v>
      </c>
      <c r="K88" s="18">
        <f t="shared" si="6"/>
        <v>89</v>
      </c>
      <c r="L88" s="17">
        <f t="shared" si="7"/>
        <v>53.4</v>
      </c>
      <c r="M88" s="19">
        <f t="shared" si="8"/>
        <v>69.4</v>
      </c>
      <c r="N88" s="20" t="str">
        <f t="shared" si="9"/>
        <v>C+</v>
      </c>
    </row>
    <row r="89" ht="25.5" spans="1:14">
      <c r="A89" s="15">
        <v>84</v>
      </c>
      <c r="B89" s="15" t="s">
        <v>181</v>
      </c>
      <c r="C89" s="15" t="s">
        <v>182</v>
      </c>
      <c r="D89" s="16">
        <v>0</v>
      </c>
      <c r="E89" s="8">
        <v>10</v>
      </c>
      <c r="F89" s="16">
        <v>20</v>
      </c>
      <c r="G89" s="17">
        <f t="shared" si="5"/>
        <v>30</v>
      </c>
      <c r="H89" s="16">
        <v>51</v>
      </c>
      <c r="I89" s="16">
        <v>19</v>
      </c>
      <c r="J89" s="16">
        <v>20</v>
      </c>
      <c r="K89" s="18">
        <f t="shared" si="6"/>
        <v>90</v>
      </c>
      <c r="L89" s="17">
        <f t="shared" si="7"/>
        <v>54</v>
      </c>
      <c r="M89" s="19">
        <f t="shared" si="8"/>
        <v>84</v>
      </c>
      <c r="N89" s="20" t="str">
        <f t="shared" si="9"/>
        <v>A</v>
      </c>
    </row>
    <row r="90" ht="25.5" spans="1:14">
      <c r="A90" s="15">
        <v>85</v>
      </c>
      <c r="B90" s="15" t="s">
        <v>183</v>
      </c>
      <c r="C90" s="15" t="s">
        <v>184</v>
      </c>
      <c r="D90" s="16">
        <v>0</v>
      </c>
      <c r="E90" s="8">
        <v>8</v>
      </c>
      <c r="F90" s="16">
        <v>19</v>
      </c>
      <c r="G90" s="17">
        <f t="shared" si="5"/>
        <v>27</v>
      </c>
      <c r="H90" s="16">
        <v>49</v>
      </c>
      <c r="I90" s="16">
        <v>19</v>
      </c>
      <c r="J90" s="16">
        <v>19</v>
      </c>
      <c r="K90" s="18">
        <f t="shared" si="6"/>
        <v>87</v>
      </c>
      <c r="L90" s="17">
        <f t="shared" si="7"/>
        <v>52.2</v>
      </c>
      <c r="M90" s="19">
        <f t="shared" si="8"/>
        <v>79.2</v>
      </c>
      <c r="N90" s="20" t="str">
        <f t="shared" si="9"/>
        <v>B+</v>
      </c>
    </row>
    <row r="91" ht="25.5" spans="1:14">
      <c r="A91" s="15">
        <v>86</v>
      </c>
      <c r="B91" s="15" t="s">
        <v>185</v>
      </c>
      <c r="C91" s="15" t="s">
        <v>186</v>
      </c>
      <c r="D91" s="16">
        <v>0</v>
      </c>
      <c r="E91" s="8">
        <v>9</v>
      </c>
      <c r="F91" s="16">
        <v>15</v>
      </c>
      <c r="G91" s="17">
        <f t="shared" si="5"/>
        <v>24</v>
      </c>
      <c r="H91" s="16">
        <v>35</v>
      </c>
      <c r="I91" s="16">
        <v>17</v>
      </c>
      <c r="J91" s="16">
        <v>16</v>
      </c>
      <c r="K91" s="18">
        <f t="shared" si="6"/>
        <v>68</v>
      </c>
      <c r="L91" s="17">
        <f t="shared" si="7"/>
        <v>40.8</v>
      </c>
      <c r="M91" s="19">
        <f t="shared" si="8"/>
        <v>64.8</v>
      </c>
      <c r="N91" s="20" t="str">
        <f t="shared" si="9"/>
        <v>C</v>
      </c>
    </row>
    <row r="92" ht="25.5" spans="1:14">
      <c r="A92" s="15">
        <v>87</v>
      </c>
      <c r="B92" s="15" t="s">
        <v>187</v>
      </c>
      <c r="C92" s="15" t="s">
        <v>188</v>
      </c>
      <c r="D92" s="16">
        <v>0</v>
      </c>
      <c r="E92" s="8">
        <v>4.5</v>
      </c>
      <c r="F92" s="16">
        <v>19</v>
      </c>
      <c r="G92" s="17">
        <f t="shared" si="5"/>
        <v>23.5</v>
      </c>
      <c r="H92" s="16">
        <v>52</v>
      </c>
      <c r="I92" s="16">
        <v>20</v>
      </c>
      <c r="J92" s="16">
        <v>20</v>
      </c>
      <c r="K92" s="18">
        <f t="shared" si="6"/>
        <v>92</v>
      </c>
      <c r="L92" s="17">
        <f t="shared" si="7"/>
        <v>55.2</v>
      </c>
      <c r="M92" s="19">
        <f t="shared" si="8"/>
        <v>78.7</v>
      </c>
      <c r="N92" s="20" t="str">
        <f t="shared" si="9"/>
        <v>B+</v>
      </c>
    </row>
    <row r="93" ht="25.5" spans="1:14">
      <c r="A93" s="15">
        <v>88</v>
      </c>
      <c r="B93" s="15" t="s">
        <v>189</v>
      </c>
      <c r="C93" s="15" t="s">
        <v>190</v>
      </c>
      <c r="D93" s="16">
        <v>0</v>
      </c>
      <c r="E93" s="8">
        <v>5</v>
      </c>
      <c r="F93" s="16">
        <v>19</v>
      </c>
      <c r="G93" s="17">
        <f t="shared" si="5"/>
        <v>24</v>
      </c>
      <c r="H93" s="16">
        <v>50</v>
      </c>
      <c r="I93" s="16">
        <v>17</v>
      </c>
      <c r="J93" s="16">
        <v>16</v>
      </c>
      <c r="K93" s="18">
        <f t="shared" si="6"/>
        <v>83</v>
      </c>
      <c r="L93" s="17">
        <f t="shared" si="7"/>
        <v>49.8</v>
      </c>
      <c r="M93" s="19">
        <f t="shared" si="8"/>
        <v>73.8</v>
      </c>
      <c r="N93" s="20" t="str">
        <f t="shared" si="9"/>
        <v>B</v>
      </c>
    </row>
    <row r="94" ht="25.5" spans="1:14">
      <c r="A94" s="15">
        <v>89</v>
      </c>
      <c r="B94" s="15" t="s">
        <v>191</v>
      </c>
      <c r="C94" s="15" t="s">
        <v>192</v>
      </c>
      <c r="D94" s="16">
        <v>0</v>
      </c>
      <c r="E94" s="8">
        <v>5</v>
      </c>
      <c r="F94" s="16">
        <v>17</v>
      </c>
      <c r="G94" s="17">
        <f t="shared" si="5"/>
        <v>22</v>
      </c>
      <c r="H94" s="16">
        <v>46</v>
      </c>
      <c r="I94" s="16">
        <v>17</v>
      </c>
      <c r="J94" s="16">
        <v>10</v>
      </c>
      <c r="K94" s="18">
        <f t="shared" si="6"/>
        <v>73</v>
      </c>
      <c r="L94" s="17">
        <f t="shared" si="7"/>
        <v>43.8</v>
      </c>
      <c r="M94" s="19">
        <f t="shared" si="8"/>
        <v>65.8</v>
      </c>
      <c r="N94" s="20" t="str">
        <f t="shared" si="9"/>
        <v>C+</v>
      </c>
    </row>
    <row r="95" ht="25.5" spans="1:14">
      <c r="A95" s="15">
        <v>90</v>
      </c>
      <c r="B95" s="15" t="s">
        <v>193</v>
      </c>
      <c r="C95" s="15" t="s">
        <v>194</v>
      </c>
      <c r="D95" s="16">
        <v>0</v>
      </c>
      <c r="E95" s="8">
        <v>10</v>
      </c>
      <c r="F95" s="16">
        <v>15</v>
      </c>
      <c r="G95" s="17">
        <f t="shared" si="5"/>
        <v>25</v>
      </c>
      <c r="H95" s="16">
        <v>51</v>
      </c>
      <c r="I95" s="16">
        <v>20</v>
      </c>
      <c r="J95" s="16">
        <v>20</v>
      </c>
      <c r="K95" s="18">
        <f t="shared" si="6"/>
        <v>91</v>
      </c>
      <c r="L95" s="17">
        <f t="shared" si="7"/>
        <v>54.6</v>
      </c>
      <c r="M95" s="19">
        <f t="shared" si="8"/>
        <v>79.6</v>
      </c>
      <c r="N95" s="20" t="str">
        <f t="shared" si="9"/>
        <v>B+</v>
      </c>
    </row>
    <row r="96" ht="25.5" spans="1:14">
      <c r="A96" s="15">
        <v>91</v>
      </c>
      <c r="B96" s="15" t="s">
        <v>195</v>
      </c>
      <c r="C96" s="15" t="s">
        <v>196</v>
      </c>
      <c r="D96" s="16">
        <v>0</v>
      </c>
      <c r="E96" s="8">
        <v>10</v>
      </c>
      <c r="F96" s="16">
        <v>19</v>
      </c>
      <c r="G96" s="17">
        <f t="shared" si="5"/>
        <v>29</v>
      </c>
      <c r="H96" s="16">
        <v>49</v>
      </c>
      <c r="I96" s="16">
        <v>18</v>
      </c>
      <c r="J96" s="16">
        <v>20</v>
      </c>
      <c r="K96" s="18">
        <f t="shared" si="6"/>
        <v>87</v>
      </c>
      <c r="L96" s="17">
        <f t="shared" si="7"/>
        <v>52.2</v>
      </c>
      <c r="M96" s="19">
        <f t="shared" si="8"/>
        <v>81.2</v>
      </c>
      <c r="N96" s="20" t="str">
        <f t="shared" si="9"/>
        <v>A</v>
      </c>
    </row>
    <row r="97" ht="25.5" spans="1:14">
      <c r="A97" s="15">
        <v>92</v>
      </c>
      <c r="B97" s="15" t="s">
        <v>197</v>
      </c>
      <c r="C97" s="15" t="s">
        <v>198</v>
      </c>
      <c r="D97" s="16">
        <v>0</v>
      </c>
      <c r="E97" s="8">
        <v>8.5</v>
      </c>
      <c r="F97" s="16">
        <v>18</v>
      </c>
      <c r="G97" s="17">
        <f t="shared" si="5"/>
        <v>26.5</v>
      </c>
      <c r="H97" s="16">
        <v>48</v>
      </c>
      <c r="I97" s="16">
        <v>20</v>
      </c>
      <c r="J97" s="16">
        <v>20</v>
      </c>
      <c r="K97" s="18">
        <f t="shared" si="6"/>
        <v>88</v>
      </c>
      <c r="L97" s="17">
        <f t="shared" si="7"/>
        <v>52.8</v>
      </c>
      <c r="M97" s="19">
        <f t="shared" si="8"/>
        <v>79.3</v>
      </c>
      <c r="N97" s="20" t="str">
        <f t="shared" si="9"/>
        <v>B+</v>
      </c>
    </row>
    <row r="98" ht="25.5" spans="1:14">
      <c r="A98" s="15">
        <v>94</v>
      </c>
      <c r="B98" s="15" t="s">
        <v>199</v>
      </c>
      <c r="C98" s="15" t="s">
        <v>200</v>
      </c>
      <c r="D98" s="16">
        <v>0</v>
      </c>
      <c r="E98" s="8">
        <v>4</v>
      </c>
      <c r="F98" s="16">
        <v>17</v>
      </c>
      <c r="G98" s="17">
        <f t="shared" si="5"/>
        <v>21</v>
      </c>
      <c r="H98" s="16">
        <v>45</v>
      </c>
      <c r="I98" s="16">
        <v>18</v>
      </c>
      <c r="J98" s="16">
        <v>14</v>
      </c>
      <c r="K98" s="18">
        <f t="shared" si="6"/>
        <v>77</v>
      </c>
      <c r="L98" s="17">
        <f t="shared" si="7"/>
        <v>46.2</v>
      </c>
      <c r="M98" s="19">
        <f t="shared" si="8"/>
        <v>67.2</v>
      </c>
      <c r="N98" s="20" t="str">
        <f t="shared" si="9"/>
        <v>C+</v>
      </c>
    </row>
    <row r="99" ht="25.5" spans="1:14">
      <c r="A99" s="15">
        <v>95</v>
      </c>
      <c r="B99" s="15" t="s">
        <v>201</v>
      </c>
      <c r="C99" s="15" t="s">
        <v>202</v>
      </c>
      <c r="D99" s="16">
        <v>0</v>
      </c>
      <c r="E99" s="8">
        <v>7</v>
      </c>
      <c r="F99" s="16">
        <v>18</v>
      </c>
      <c r="G99" s="17">
        <f t="shared" si="5"/>
        <v>25</v>
      </c>
      <c r="H99" s="16">
        <v>41</v>
      </c>
      <c r="I99" s="16">
        <v>15</v>
      </c>
      <c r="J99" s="16">
        <v>14</v>
      </c>
      <c r="K99" s="18">
        <f t="shared" si="6"/>
        <v>70</v>
      </c>
      <c r="L99" s="17">
        <f t="shared" si="7"/>
        <v>42</v>
      </c>
      <c r="M99" s="19">
        <f t="shared" si="8"/>
        <v>67</v>
      </c>
      <c r="N99" s="20" t="str">
        <f t="shared" si="9"/>
        <v>C+</v>
      </c>
    </row>
    <row r="100" ht="25.5" spans="1:14">
      <c r="A100" s="15">
        <v>96</v>
      </c>
      <c r="B100" s="15" t="s">
        <v>203</v>
      </c>
      <c r="C100" s="15" t="s">
        <v>204</v>
      </c>
      <c r="D100" s="16">
        <v>0</v>
      </c>
      <c r="E100" s="8">
        <v>0</v>
      </c>
      <c r="F100" s="16">
        <v>20</v>
      </c>
      <c r="G100" s="17">
        <f t="shared" si="5"/>
        <v>20</v>
      </c>
      <c r="H100" s="16">
        <v>51</v>
      </c>
      <c r="I100" s="16">
        <v>20</v>
      </c>
      <c r="J100" s="16">
        <v>20</v>
      </c>
      <c r="K100" s="18">
        <f t="shared" si="6"/>
        <v>91</v>
      </c>
      <c r="L100" s="17">
        <f t="shared" si="7"/>
        <v>54.6</v>
      </c>
      <c r="M100" s="19">
        <f t="shared" si="8"/>
        <v>74.6</v>
      </c>
      <c r="N100" s="20" t="str">
        <f t="shared" si="9"/>
        <v>B</v>
      </c>
    </row>
    <row r="101" ht="25.5" spans="1:14">
      <c r="A101" s="15">
        <v>97</v>
      </c>
      <c r="B101" s="15" t="s">
        <v>205</v>
      </c>
      <c r="C101" s="15" t="s">
        <v>206</v>
      </c>
      <c r="D101" s="16">
        <v>0</v>
      </c>
      <c r="E101" s="8">
        <v>10</v>
      </c>
      <c r="F101" s="16">
        <v>17</v>
      </c>
      <c r="G101" s="17">
        <f t="shared" si="5"/>
        <v>27</v>
      </c>
      <c r="H101" s="16">
        <v>38</v>
      </c>
      <c r="I101" s="16">
        <v>18</v>
      </c>
      <c r="J101" s="16">
        <v>10</v>
      </c>
      <c r="K101" s="18">
        <f t="shared" si="6"/>
        <v>66</v>
      </c>
      <c r="L101" s="17">
        <f t="shared" si="7"/>
        <v>39.6</v>
      </c>
      <c r="M101" s="19">
        <f t="shared" si="8"/>
        <v>66.6</v>
      </c>
      <c r="N101" s="20" t="str">
        <f t="shared" si="9"/>
        <v>C+</v>
      </c>
    </row>
    <row r="102" ht="25.5" spans="1:14">
      <c r="A102" s="15">
        <v>98</v>
      </c>
      <c r="B102" s="15" t="s">
        <v>207</v>
      </c>
      <c r="C102" s="15" t="s">
        <v>208</v>
      </c>
      <c r="D102" s="16">
        <v>0</v>
      </c>
      <c r="E102" s="8">
        <v>10</v>
      </c>
      <c r="F102" s="16">
        <v>18</v>
      </c>
      <c r="G102" s="17">
        <f t="shared" si="5"/>
        <v>28</v>
      </c>
      <c r="H102" s="16">
        <v>44</v>
      </c>
      <c r="I102" s="16">
        <v>20</v>
      </c>
      <c r="J102" s="16">
        <v>17</v>
      </c>
      <c r="K102" s="18">
        <f t="shared" si="6"/>
        <v>81</v>
      </c>
      <c r="L102" s="17">
        <f t="shared" si="7"/>
        <v>48.6</v>
      </c>
      <c r="M102" s="19">
        <f t="shared" si="8"/>
        <v>76.6</v>
      </c>
      <c r="N102" s="20" t="str">
        <f t="shared" si="9"/>
        <v>B+</v>
      </c>
    </row>
    <row r="103" ht="25.5" spans="1:14">
      <c r="A103" s="15">
        <v>99</v>
      </c>
      <c r="B103" s="15" t="s">
        <v>209</v>
      </c>
      <c r="C103" s="15" t="s">
        <v>210</v>
      </c>
      <c r="D103" s="16">
        <v>0</v>
      </c>
      <c r="E103" s="8">
        <v>9.5</v>
      </c>
      <c r="F103" s="16">
        <v>17</v>
      </c>
      <c r="G103" s="17">
        <f t="shared" si="5"/>
        <v>26.5</v>
      </c>
      <c r="H103" s="16">
        <v>42</v>
      </c>
      <c r="I103" s="16">
        <v>19</v>
      </c>
      <c r="J103" s="16">
        <v>19</v>
      </c>
      <c r="K103" s="18">
        <f t="shared" si="6"/>
        <v>80</v>
      </c>
      <c r="L103" s="17">
        <f t="shared" si="7"/>
        <v>48</v>
      </c>
      <c r="M103" s="19">
        <f t="shared" si="8"/>
        <v>74.5</v>
      </c>
      <c r="N103" s="20" t="str">
        <f t="shared" si="9"/>
        <v>B</v>
      </c>
    </row>
    <row r="104" ht="25.5" spans="1:14">
      <c r="A104" s="15">
        <v>100</v>
      </c>
      <c r="B104" s="15" t="s">
        <v>211</v>
      </c>
      <c r="C104" s="15" t="s">
        <v>212</v>
      </c>
      <c r="D104" s="16">
        <v>0</v>
      </c>
      <c r="E104" s="8">
        <v>9.5</v>
      </c>
      <c r="F104" s="16">
        <v>19</v>
      </c>
      <c r="G104" s="17">
        <f t="shared" si="5"/>
        <v>28.5</v>
      </c>
      <c r="H104" s="16">
        <v>42</v>
      </c>
      <c r="I104" s="16">
        <v>19</v>
      </c>
      <c r="J104" s="16">
        <v>18</v>
      </c>
      <c r="K104" s="18">
        <f t="shared" si="6"/>
        <v>79</v>
      </c>
      <c r="L104" s="17">
        <f t="shared" si="7"/>
        <v>47.4</v>
      </c>
      <c r="M104" s="19">
        <f t="shared" si="8"/>
        <v>75.9</v>
      </c>
      <c r="N104" s="20" t="str">
        <f t="shared" si="9"/>
        <v>B+</v>
      </c>
    </row>
    <row r="105" ht="25.5" spans="1:14">
      <c r="A105" s="15">
        <v>101</v>
      </c>
      <c r="B105" s="15" t="s">
        <v>213</v>
      </c>
      <c r="C105" s="15" t="s">
        <v>214</v>
      </c>
      <c r="D105" s="16">
        <v>0</v>
      </c>
      <c r="E105" s="8">
        <v>10</v>
      </c>
      <c r="F105" s="16">
        <v>20</v>
      </c>
      <c r="G105" s="17">
        <f t="shared" si="5"/>
        <v>30</v>
      </c>
      <c r="H105" s="16">
        <v>51</v>
      </c>
      <c r="I105" s="16">
        <v>20</v>
      </c>
      <c r="J105" s="16">
        <v>19</v>
      </c>
      <c r="K105" s="18">
        <f t="shared" si="6"/>
        <v>90</v>
      </c>
      <c r="L105" s="17">
        <f t="shared" si="7"/>
        <v>54</v>
      </c>
      <c r="M105" s="19">
        <f t="shared" si="8"/>
        <v>84</v>
      </c>
      <c r="N105" s="20" t="str">
        <f t="shared" si="9"/>
        <v>A</v>
      </c>
    </row>
    <row r="106" ht="25.5" spans="1:14">
      <c r="A106" s="15">
        <v>102</v>
      </c>
      <c r="B106" s="15" t="s">
        <v>215</v>
      </c>
      <c r="C106" s="15" t="s">
        <v>216</v>
      </c>
      <c r="D106" s="16">
        <v>0</v>
      </c>
      <c r="E106" s="8">
        <v>5</v>
      </c>
      <c r="F106" s="16">
        <v>16</v>
      </c>
      <c r="G106" s="17">
        <f t="shared" si="5"/>
        <v>21</v>
      </c>
      <c r="H106" s="16">
        <v>37</v>
      </c>
      <c r="I106" s="16">
        <v>20</v>
      </c>
      <c r="J106" s="16">
        <v>19</v>
      </c>
      <c r="K106" s="18">
        <f t="shared" si="6"/>
        <v>76</v>
      </c>
      <c r="L106" s="17">
        <f t="shared" si="7"/>
        <v>45.6</v>
      </c>
      <c r="M106" s="19">
        <f t="shared" si="8"/>
        <v>66.6</v>
      </c>
      <c r="N106" s="20" t="str">
        <f t="shared" si="9"/>
        <v>C+</v>
      </c>
    </row>
    <row r="107" ht="25.5" spans="1:14">
      <c r="A107" s="15">
        <v>103</v>
      </c>
      <c r="B107" s="15" t="s">
        <v>217</v>
      </c>
      <c r="C107" s="15" t="s">
        <v>218</v>
      </c>
      <c r="D107" s="16">
        <v>0</v>
      </c>
      <c r="E107" s="8">
        <v>10</v>
      </c>
      <c r="F107" s="16">
        <v>17</v>
      </c>
      <c r="G107" s="17">
        <f t="shared" si="5"/>
        <v>27</v>
      </c>
      <c r="H107" s="16">
        <v>52</v>
      </c>
      <c r="I107" s="16">
        <v>20</v>
      </c>
      <c r="J107" s="16">
        <v>19</v>
      </c>
      <c r="K107" s="18">
        <f t="shared" si="6"/>
        <v>91</v>
      </c>
      <c r="L107" s="17">
        <f t="shared" si="7"/>
        <v>54.6</v>
      </c>
      <c r="M107" s="19">
        <f t="shared" si="8"/>
        <v>81.6</v>
      </c>
      <c r="N107" s="20" t="str">
        <f t="shared" si="9"/>
        <v>A</v>
      </c>
    </row>
    <row r="108" ht="25.5" spans="1:14">
      <c r="A108" s="15">
        <v>104</v>
      </c>
      <c r="B108" s="15" t="s">
        <v>219</v>
      </c>
      <c r="C108" s="15" t="s">
        <v>220</v>
      </c>
      <c r="D108" s="16">
        <v>0</v>
      </c>
      <c r="E108" s="8">
        <v>5.5</v>
      </c>
      <c r="F108" s="16">
        <v>19</v>
      </c>
      <c r="G108" s="17">
        <f t="shared" si="5"/>
        <v>24.5</v>
      </c>
      <c r="H108" s="16">
        <v>42</v>
      </c>
      <c r="I108" s="16">
        <v>17</v>
      </c>
      <c r="J108" s="16">
        <v>18</v>
      </c>
      <c r="K108" s="18">
        <f t="shared" si="6"/>
        <v>77</v>
      </c>
      <c r="L108" s="17">
        <f t="shared" si="7"/>
        <v>46.2</v>
      </c>
      <c r="M108" s="19">
        <f t="shared" si="8"/>
        <v>70.7</v>
      </c>
      <c r="N108" s="20" t="str">
        <f t="shared" si="9"/>
        <v>B</v>
      </c>
    </row>
    <row r="109" ht="25.5" spans="1:14">
      <c r="A109" s="15">
        <v>105</v>
      </c>
      <c r="B109" s="15" t="s">
        <v>221</v>
      </c>
      <c r="C109" s="15" t="s">
        <v>222</v>
      </c>
      <c r="D109" s="16">
        <v>0</v>
      </c>
      <c r="E109" s="8">
        <v>10</v>
      </c>
      <c r="F109" s="16">
        <v>20</v>
      </c>
      <c r="G109" s="17">
        <f t="shared" si="5"/>
        <v>30</v>
      </c>
      <c r="H109" s="16">
        <v>53</v>
      </c>
      <c r="I109" s="16">
        <v>20</v>
      </c>
      <c r="J109" s="16">
        <v>18</v>
      </c>
      <c r="K109" s="18">
        <f t="shared" si="6"/>
        <v>91</v>
      </c>
      <c r="L109" s="17">
        <f t="shared" si="7"/>
        <v>54.6</v>
      </c>
      <c r="M109" s="19">
        <f t="shared" si="8"/>
        <v>84.6</v>
      </c>
      <c r="N109" s="20" t="str">
        <f t="shared" si="9"/>
        <v>A</v>
      </c>
    </row>
    <row r="110" ht="25.5" spans="1:14">
      <c r="A110" s="15">
        <v>106</v>
      </c>
      <c r="B110" s="15" t="s">
        <v>223</v>
      </c>
      <c r="C110" s="15" t="s">
        <v>224</v>
      </c>
      <c r="D110" s="16">
        <v>0</v>
      </c>
      <c r="E110" s="8">
        <v>8.5</v>
      </c>
      <c r="F110" s="16">
        <v>17</v>
      </c>
      <c r="G110" s="17">
        <f t="shared" si="5"/>
        <v>25.5</v>
      </c>
      <c r="H110" s="16">
        <v>46</v>
      </c>
      <c r="I110" s="16">
        <v>19</v>
      </c>
      <c r="J110" s="16">
        <v>19</v>
      </c>
      <c r="K110" s="18">
        <f t="shared" si="6"/>
        <v>84</v>
      </c>
      <c r="L110" s="17">
        <f t="shared" si="7"/>
        <v>50.4</v>
      </c>
      <c r="M110" s="19">
        <f t="shared" si="8"/>
        <v>75.9</v>
      </c>
      <c r="N110" s="20" t="str">
        <f t="shared" si="9"/>
        <v>B+</v>
      </c>
    </row>
    <row r="111" ht="25.5" spans="1:14">
      <c r="A111" s="15">
        <v>107</v>
      </c>
      <c r="B111" s="15" t="s">
        <v>225</v>
      </c>
      <c r="C111" s="15" t="s">
        <v>226</v>
      </c>
      <c r="D111" s="16">
        <v>0</v>
      </c>
      <c r="E111" s="8">
        <v>10</v>
      </c>
      <c r="F111" s="16">
        <v>15</v>
      </c>
      <c r="G111" s="17">
        <f t="shared" si="5"/>
        <v>25</v>
      </c>
      <c r="H111" s="16">
        <v>49</v>
      </c>
      <c r="I111" s="16">
        <v>19</v>
      </c>
      <c r="J111" s="16">
        <v>20</v>
      </c>
      <c r="K111" s="18">
        <f t="shared" si="6"/>
        <v>88</v>
      </c>
      <c r="L111" s="17">
        <f t="shared" si="7"/>
        <v>52.8</v>
      </c>
      <c r="M111" s="19">
        <f t="shared" si="8"/>
        <v>77.8</v>
      </c>
      <c r="N111" s="20" t="str">
        <f t="shared" si="9"/>
        <v>B+</v>
      </c>
    </row>
    <row r="112" ht="25.5" spans="1:14">
      <c r="A112" s="15">
        <v>108</v>
      </c>
      <c r="B112" s="15" t="s">
        <v>227</v>
      </c>
      <c r="C112" s="15" t="s">
        <v>228</v>
      </c>
      <c r="D112" s="16">
        <v>0</v>
      </c>
      <c r="E112" s="8">
        <v>10</v>
      </c>
      <c r="F112" s="16">
        <v>20</v>
      </c>
      <c r="G112" s="17">
        <f t="shared" si="5"/>
        <v>30</v>
      </c>
      <c r="H112" s="16">
        <v>52</v>
      </c>
      <c r="I112" s="16">
        <v>18</v>
      </c>
      <c r="J112" s="16">
        <v>18</v>
      </c>
      <c r="K112" s="18">
        <f t="shared" si="6"/>
        <v>88</v>
      </c>
      <c r="L112" s="17">
        <f t="shared" si="7"/>
        <v>52.8</v>
      </c>
      <c r="M112" s="19">
        <f t="shared" si="8"/>
        <v>82.8</v>
      </c>
      <c r="N112" s="20" t="str">
        <f t="shared" si="9"/>
        <v>A</v>
      </c>
    </row>
    <row r="113" ht="25.5" spans="1:14">
      <c r="A113" s="15">
        <v>109</v>
      </c>
      <c r="B113" s="15" t="s">
        <v>229</v>
      </c>
      <c r="C113" s="15" t="s">
        <v>230</v>
      </c>
      <c r="D113" s="16">
        <v>0</v>
      </c>
      <c r="E113" s="8">
        <v>10</v>
      </c>
      <c r="F113" s="16">
        <v>20</v>
      </c>
      <c r="G113" s="17">
        <f t="shared" si="5"/>
        <v>30</v>
      </c>
      <c r="H113" s="16">
        <v>52</v>
      </c>
      <c r="I113" s="16">
        <v>20</v>
      </c>
      <c r="J113" s="16">
        <v>19</v>
      </c>
      <c r="K113" s="18">
        <f t="shared" si="6"/>
        <v>91</v>
      </c>
      <c r="L113" s="17">
        <f t="shared" si="7"/>
        <v>54.6</v>
      </c>
      <c r="M113" s="19">
        <f t="shared" si="8"/>
        <v>84.6</v>
      </c>
      <c r="N113" s="20" t="str">
        <f t="shared" si="9"/>
        <v>A</v>
      </c>
    </row>
    <row r="114" ht="25.5" spans="1:14">
      <c r="A114" s="15">
        <v>110</v>
      </c>
      <c r="B114" s="15" t="s">
        <v>231</v>
      </c>
      <c r="C114" s="15" t="s">
        <v>232</v>
      </c>
      <c r="D114" s="16">
        <v>0</v>
      </c>
      <c r="E114" s="8">
        <v>0</v>
      </c>
      <c r="F114" s="16">
        <v>13</v>
      </c>
      <c r="G114" s="17">
        <f t="shared" si="5"/>
        <v>13</v>
      </c>
      <c r="H114" s="16">
        <v>50</v>
      </c>
      <c r="I114" s="16">
        <v>19</v>
      </c>
      <c r="J114" s="16">
        <v>10</v>
      </c>
      <c r="K114" s="18">
        <f t="shared" si="6"/>
        <v>79</v>
      </c>
      <c r="L114" s="17">
        <f t="shared" si="7"/>
        <v>47.4</v>
      </c>
      <c r="M114" s="19">
        <f t="shared" si="8"/>
        <v>60.4</v>
      </c>
      <c r="N114" s="20" t="str">
        <f t="shared" si="9"/>
        <v>C</v>
      </c>
    </row>
    <row r="115" ht="25.5" spans="1:14">
      <c r="A115" s="15">
        <v>112</v>
      </c>
      <c r="B115" s="15" t="s">
        <v>233</v>
      </c>
      <c r="C115" s="15" t="s">
        <v>234</v>
      </c>
      <c r="D115" s="16">
        <v>0</v>
      </c>
      <c r="E115" s="8">
        <v>10</v>
      </c>
      <c r="F115" s="16">
        <v>20</v>
      </c>
      <c r="G115" s="17">
        <f t="shared" si="5"/>
        <v>30</v>
      </c>
      <c r="H115" s="16">
        <v>43</v>
      </c>
      <c r="I115" s="16">
        <v>20</v>
      </c>
      <c r="J115" s="16">
        <v>19</v>
      </c>
      <c r="K115" s="18">
        <f t="shared" si="6"/>
        <v>82</v>
      </c>
      <c r="L115" s="17">
        <f t="shared" si="7"/>
        <v>49.2</v>
      </c>
      <c r="M115" s="19">
        <f t="shared" si="8"/>
        <v>79.2</v>
      </c>
      <c r="N115" s="20" t="str">
        <f t="shared" si="9"/>
        <v>B+</v>
      </c>
    </row>
    <row r="116" ht="25.5" spans="1:14">
      <c r="A116" s="15">
        <v>113</v>
      </c>
      <c r="B116" s="15" t="s">
        <v>235</v>
      </c>
      <c r="C116" s="15" t="s">
        <v>236</v>
      </c>
      <c r="D116" s="16">
        <v>0</v>
      </c>
      <c r="E116" s="8">
        <v>10</v>
      </c>
      <c r="F116" s="16">
        <v>16</v>
      </c>
      <c r="G116" s="17">
        <f t="shared" si="5"/>
        <v>26</v>
      </c>
      <c r="H116" s="16">
        <v>46</v>
      </c>
      <c r="I116" s="16">
        <v>20</v>
      </c>
      <c r="J116" s="16">
        <v>20</v>
      </c>
      <c r="K116" s="18">
        <f t="shared" si="6"/>
        <v>86</v>
      </c>
      <c r="L116" s="17">
        <f t="shared" si="7"/>
        <v>51.6</v>
      </c>
      <c r="M116" s="19">
        <f t="shared" si="8"/>
        <v>77.6</v>
      </c>
      <c r="N116" s="20" t="str">
        <f t="shared" si="9"/>
        <v>B+</v>
      </c>
    </row>
    <row r="117" ht="25.5" spans="1:14">
      <c r="A117" s="15">
        <v>114</v>
      </c>
      <c r="B117" s="15" t="s">
        <v>237</v>
      </c>
      <c r="C117" s="15" t="s">
        <v>238</v>
      </c>
      <c r="D117" s="16">
        <v>0</v>
      </c>
      <c r="E117" s="8">
        <v>5</v>
      </c>
      <c r="F117" s="16">
        <v>16</v>
      </c>
      <c r="G117" s="17">
        <f t="shared" si="5"/>
        <v>21</v>
      </c>
      <c r="H117" s="16">
        <v>40</v>
      </c>
      <c r="I117" s="16">
        <v>7</v>
      </c>
      <c r="J117" s="16">
        <v>13</v>
      </c>
      <c r="K117" s="18">
        <f t="shared" si="6"/>
        <v>60</v>
      </c>
      <c r="L117" s="17">
        <f t="shared" si="7"/>
        <v>36</v>
      </c>
      <c r="M117" s="19">
        <f t="shared" si="8"/>
        <v>57</v>
      </c>
      <c r="N117" s="20" t="str">
        <f t="shared" si="9"/>
        <v>D+</v>
      </c>
    </row>
    <row r="118" ht="25.5" spans="1:14">
      <c r="A118" s="15">
        <v>115</v>
      </c>
      <c r="B118" s="15" t="s">
        <v>239</v>
      </c>
      <c r="C118" s="15" t="s">
        <v>240</v>
      </c>
      <c r="D118" s="16">
        <v>0</v>
      </c>
      <c r="E118" s="8">
        <v>0</v>
      </c>
      <c r="F118" s="16">
        <v>15</v>
      </c>
      <c r="G118" s="17">
        <f t="shared" si="5"/>
        <v>15</v>
      </c>
      <c r="H118" s="16">
        <v>50</v>
      </c>
      <c r="I118" s="16">
        <v>17</v>
      </c>
      <c r="J118" s="16">
        <v>18</v>
      </c>
      <c r="K118" s="18">
        <f t="shared" si="6"/>
        <v>85</v>
      </c>
      <c r="L118" s="17">
        <f t="shared" si="7"/>
        <v>51</v>
      </c>
      <c r="M118" s="19">
        <f t="shared" si="8"/>
        <v>66</v>
      </c>
      <c r="N118" s="20" t="str">
        <f t="shared" si="9"/>
        <v>C+</v>
      </c>
    </row>
    <row r="119" ht="25.5" spans="1:14">
      <c r="A119" s="15">
        <v>116</v>
      </c>
      <c r="B119" s="15" t="s">
        <v>241</v>
      </c>
      <c r="C119" s="15" t="s">
        <v>242</v>
      </c>
      <c r="D119" s="16">
        <v>0</v>
      </c>
      <c r="E119" s="8">
        <v>10</v>
      </c>
      <c r="F119" s="16">
        <v>20</v>
      </c>
      <c r="G119" s="17">
        <f t="shared" si="5"/>
        <v>30</v>
      </c>
      <c r="H119" s="16">
        <v>51</v>
      </c>
      <c r="I119" s="16">
        <v>18</v>
      </c>
      <c r="J119" s="16">
        <v>18</v>
      </c>
      <c r="K119" s="18">
        <f t="shared" si="6"/>
        <v>87</v>
      </c>
      <c r="L119" s="17">
        <f t="shared" si="7"/>
        <v>52.2</v>
      </c>
      <c r="M119" s="19">
        <f t="shared" si="8"/>
        <v>82.2</v>
      </c>
      <c r="N119" s="20" t="str">
        <f t="shared" si="9"/>
        <v>A</v>
      </c>
    </row>
    <row r="120" ht="25.5" spans="1:14">
      <c r="A120" s="15">
        <v>117</v>
      </c>
      <c r="B120" s="15" t="s">
        <v>243</v>
      </c>
      <c r="C120" s="15" t="s">
        <v>244</v>
      </c>
      <c r="D120" s="16">
        <v>0</v>
      </c>
      <c r="E120" s="8">
        <v>5</v>
      </c>
      <c r="F120" s="16">
        <v>19</v>
      </c>
      <c r="G120" s="17">
        <f t="shared" si="5"/>
        <v>24</v>
      </c>
      <c r="H120" s="16">
        <v>41</v>
      </c>
      <c r="I120" s="16">
        <v>10</v>
      </c>
      <c r="J120" s="16">
        <v>16</v>
      </c>
      <c r="K120" s="18">
        <f t="shared" si="6"/>
        <v>67</v>
      </c>
      <c r="L120" s="17">
        <f t="shared" si="7"/>
        <v>40.2</v>
      </c>
      <c r="M120" s="19">
        <f t="shared" si="8"/>
        <v>64.2</v>
      </c>
      <c r="N120" s="20" t="str">
        <f t="shared" si="9"/>
        <v>C</v>
      </c>
    </row>
    <row r="121" ht="25.5" spans="1:14">
      <c r="A121" s="15">
        <v>118</v>
      </c>
      <c r="B121" s="15" t="s">
        <v>245</v>
      </c>
      <c r="C121" s="15" t="s">
        <v>246</v>
      </c>
      <c r="D121" s="16">
        <v>0</v>
      </c>
      <c r="E121" s="8">
        <v>5</v>
      </c>
      <c r="F121" s="16">
        <v>19</v>
      </c>
      <c r="G121" s="17">
        <f t="shared" si="5"/>
        <v>24</v>
      </c>
      <c r="H121" s="16">
        <v>47</v>
      </c>
      <c r="I121" s="16">
        <v>14</v>
      </c>
      <c r="J121" s="16">
        <v>14</v>
      </c>
      <c r="K121" s="18">
        <f t="shared" si="6"/>
        <v>75</v>
      </c>
      <c r="L121" s="17">
        <f t="shared" si="7"/>
        <v>45</v>
      </c>
      <c r="M121" s="19">
        <f t="shared" si="8"/>
        <v>69</v>
      </c>
      <c r="N121" s="20" t="str">
        <f t="shared" si="9"/>
        <v>C+</v>
      </c>
    </row>
    <row r="122" ht="25.5" spans="1:14">
      <c r="A122" s="15">
        <v>119</v>
      </c>
      <c r="B122" s="15" t="s">
        <v>247</v>
      </c>
      <c r="C122" s="15" t="s">
        <v>248</v>
      </c>
      <c r="D122" s="16">
        <v>0</v>
      </c>
      <c r="E122" s="8">
        <v>9.5</v>
      </c>
      <c r="F122" s="16">
        <v>20</v>
      </c>
      <c r="G122" s="17">
        <f t="shared" si="5"/>
        <v>29.5</v>
      </c>
      <c r="H122" s="16">
        <v>44</v>
      </c>
      <c r="I122" s="16">
        <v>17</v>
      </c>
      <c r="J122" s="16">
        <v>17</v>
      </c>
      <c r="K122" s="18">
        <f t="shared" si="6"/>
        <v>78</v>
      </c>
      <c r="L122" s="17">
        <f t="shared" si="7"/>
        <v>46.8</v>
      </c>
      <c r="M122" s="19">
        <f t="shared" si="8"/>
        <v>76.3</v>
      </c>
      <c r="N122" s="20" t="str">
        <f t="shared" si="9"/>
        <v>B+</v>
      </c>
    </row>
    <row r="123" ht="25.5" spans="1:14">
      <c r="A123" s="15">
        <v>120</v>
      </c>
      <c r="B123" s="15" t="s">
        <v>249</v>
      </c>
      <c r="C123" s="15" t="s">
        <v>250</v>
      </c>
      <c r="D123" s="16">
        <v>0</v>
      </c>
      <c r="E123" s="8">
        <v>4.5</v>
      </c>
      <c r="F123" s="16">
        <v>15</v>
      </c>
      <c r="G123" s="17">
        <f t="shared" si="5"/>
        <v>19.5</v>
      </c>
      <c r="H123" s="16">
        <v>36</v>
      </c>
      <c r="I123" s="16">
        <v>16</v>
      </c>
      <c r="J123" s="16">
        <v>14</v>
      </c>
      <c r="K123" s="18">
        <f t="shared" si="6"/>
        <v>66</v>
      </c>
      <c r="L123" s="17">
        <f t="shared" si="7"/>
        <v>39.6</v>
      </c>
      <c r="M123" s="19">
        <f t="shared" si="8"/>
        <v>59.1</v>
      </c>
      <c r="N123" s="20" t="str">
        <f t="shared" si="9"/>
        <v>D+</v>
      </c>
    </row>
    <row r="124" ht="25.5" spans="1:14">
      <c r="A124" s="15">
        <v>121</v>
      </c>
      <c r="B124" s="15" t="s">
        <v>251</v>
      </c>
      <c r="C124" s="15" t="s">
        <v>252</v>
      </c>
      <c r="D124" s="16">
        <v>0</v>
      </c>
      <c r="E124" s="8">
        <v>8</v>
      </c>
      <c r="F124" s="16">
        <v>18</v>
      </c>
      <c r="G124" s="17">
        <f t="shared" si="5"/>
        <v>26</v>
      </c>
      <c r="H124" s="16">
        <v>37</v>
      </c>
      <c r="I124" s="16">
        <v>18</v>
      </c>
      <c r="J124" s="16">
        <v>7</v>
      </c>
      <c r="K124" s="18">
        <f t="shared" si="6"/>
        <v>62</v>
      </c>
      <c r="L124" s="17">
        <f t="shared" si="7"/>
        <v>37.2</v>
      </c>
      <c r="M124" s="19">
        <f t="shared" si="8"/>
        <v>63.2</v>
      </c>
      <c r="N124" s="20" t="str">
        <f t="shared" si="9"/>
        <v>C</v>
      </c>
    </row>
    <row r="125" ht="25.5" spans="1:14">
      <c r="A125" s="15">
        <v>122</v>
      </c>
      <c r="B125" s="15" t="s">
        <v>253</v>
      </c>
      <c r="C125" s="15" t="s">
        <v>254</v>
      </c>
      <c r="D125" s="16">
        <v>0</v>
      </c>
      <c r="E125" s="8">
        <v>0</v>
      </c>
      <c r="F125" s="16">
        <v>19</v>
      </c>
      <c r="G125" s="17">
        <f t="shared" si="5"/>
        <v>19</v>
      </c>
      <c r="H125" s="16">
        <v>45</v>
      </c>
      <c r="I125" s="16">
        <v>19</v>
      </c>
      <c r="J125" s="16">
        <v>18</v>
      </c>
      <c r="K125" s="18">
        <f t="shared" si="6"/>
        <v>82</v>
      </c>
      <c r="L125" s="17">
        <f t="shared" si="7"/>
        <v>49.2</v>
      </c>
      <c r="M125" s="19">
        <f t="shared" si="8"/>
        <v>68.2</v>
      </c>
      <c r="N125" s="20" t="str">
        <f t="shared" si="9"/>
        <v>C+</v>
      </c>
    </row>
    <row r="126" ht="25.5" spans="1:14">
      <c r="A126" s="15">
        <v>123</v>
      </c>
      <c r="B126" s="15" t="s">
        <v>255</v>
      </c>
      <c r="C126" s="15" t="s">
        <v>256</v>
      </c>
      <c r="D126" s="16">
        <v>0</v>
      </c>
      <c r="E126" s="8">
        <v>7</v>
      </c>
      <c r="F126" s="16">
        <v>19</v>
      </c>
      <c r="G126" s="17">
        <f t="shared" si="5"/>
        <v>26</v>
      </c>
      <c r="H126" s="16">
        <v>47</v>
      </c>
      <c r="I126" s="16">
        <v>18</v>
      </c>
      <c r="J126" s="16">
        <v>15</v>
      </c>
      <c r="K126" s="18">
        <f t="shared" si="6"/>
        <v>80</v>
      </c>
      <c r="L126" s="17">
        <f t="shared" si="7"/>
        <v>48</v>
      </c>
      <c r="M126" s="19">
        <f t="shared" si="8"/>
        <v>74</v>
      </c>
      <c r="N126" s="20" t="str">
        <f t="shared" si="9"/>
        <v>B</v>
      </c>
    </row>
    <row r="127" ht="25.5" spans="1:14">
      <c r="A127" s="15">
        <v>124</v>
      </c>
      <c r="B127" s="15" t="s">
        <v>257</v>
      </c>
      <c r="C127" s="15" t="s">
        <v>258</v>
      </c>
      <c r="D127" s="16">
        <v>0</v>
      </c>
      <c r="E127" s="8">
        <v>8</v>
      </c>
      <c r="F127" s="16">
        <v>17</v>
      </c>
      <c r="G127" s="17">
        <f t="shared" si="5"/>
        <v>25</v>
      </c>
      <c r="H127" s="16">
        <v>42</v>
      </c>
      <c r="I127" s="16">
        <v>15</v>
      </c>
      <c r="J127" s="16">
        <v>13</v>
      </c>
      <c r="K127" s="18">
        <f t="shared" si="6"/>
        <v>70</v>
      </c>
      <c r="L127" s="17">
        <f t="shared" si="7"/>
        <v>42</v>
      </c>
      <c r="M127" s="19">
        <f t="shared" si="8"/>
        <v>67</v>
      </c>
      <c r="N127" s="20" t="str">
        <f t="shared" si="9"/>
        <v>C+</v>
      </c>
    </row>
    <row r="128" ht="25.5" spans="1:14">
      <c r="A128" s="15">
        <v>125</v>
      </c>
      <c r="B128" s="15" t="s">
        <v>259</v>
      </c>
      <c r="C128" s="15" t="s">
        <v>260</v>
      </c>
      <c r="D128" s="16">
        <v>0</v>
      </c>
      <c r="E128" s="8">
        <v>5.5</v>
      </c>
      <c r="F128" s="16">
        <v>0</v>
      </c>
      <c r="G128" s="17">
        <f t="shared" si="5"/>
        <v>5.5</v>
      </c>
      <c r="H128" s="16">
        <v>47</v>
      </c>
      <c r="I128" s="16">
        <v>14</v>
      </c>
      <c r="J128" s="16">
        <v>14</v>
      </c>
      <c r="K128" s="18">
        <f t="shared" si="6"/>
        <v>75</v>
      </c>
      <c r="L128" s="17">
        <f t="shared" si="7"/>
        <v>45</v>
      </c>
      <c r="M128" s="19">
        <f t="shared" si="8"/>
        <v>50.5</v>
      </c>
      <c r="N128" s="20" t="str">
        <f t="shared" si="9"/>
        <v>D</v>
      </c>
    </row>
    <row r="129" ht="25.5" spans="1:14">
      <c r="A129" s="15">
        <v>126</v>
      </c>
      <c r="B129" s="15" t="s">
        <v>261</v>
      </c>
      <c r="C129" s="15" t="s">
        <v>262</v>
      </c>
      <c r="D129" s="16">
        <v>0</v>
      </c>
      <c r="E129" s="8">
        <v>10</v>
      </c>
      <c r="F129" s="16">
        <v>17</v>
      </c>
      <c r="G129" s="17">
        <f t="shared" si="5"/>
        <v>27</v>
      </c>
      <c r="H129" s="16">
        <v>47</v>
      </c>
      <c r="I129" s="16">
        <v>20</v>
      </c>
      <c r="J129" s="16">
        <v>18</v>
      </c>
      <c r="K129" s="18">
        <f t="shared" si="6"/>
        <v>85</v>
      </c>
      <c r="L129" s="17">
        <f t="shared" si="7"/>
        <v>51</v>
      </c>
      <c r="M129" s="19">
        <f t="shared" si="8"/>
        <v>78</v>
      </c>
      <c r="N129" s="20" t="str">
        <f t="shared" si="9"/>
        <v>B+</v>
      </c>
    </row>
    <row r="130" ht="25.5" spans="1:14">
      <c r="A130" s="15">
        <v>127</v>
      </c>
      <c r="B130" s="15" t="s">
        <v>263</v>
      </c>
      <c r="C130" s="15" t="s">
        <v>264</v>
      </c>
      <c r="D130" s="16">
        <v>0</v>
      </c>
      <c r="E130" s="8">
        <v>10</v>
      </c>
      <c r="F130" s="16">
        <v>20</v>
      </c>
      <c r="G130" s="17">
        <f t="shared" si="5"/>
        <v>30</v>
      </c>
      <c r="H130" s="16">
        <v>53</v>
      </c>
      <c r="I130" s="16">
        <v>20</v>
      </c>
      <c r="J130" s="16">
        <v>19</v>
      </c>
      <c r="K130" s="18">
        <f t="shared" ref="K130:K184" si="10">SUM(H130,I130,J130)</f>
        <v>92</v>
      </c>
      <c r="L130" s="17">
        <f t="shared" ref="L130:L184" si="11">SUM(K130/100*60)</f>
        <v>55.2</v>
      </c>
      <c r="M130" s="19">
        <f t="shared" ref="M130:M184" si="12">SUM(L130,G130)</f>
        <v>85.2</v>
      </c>
      <c r="N130" s="20" t="str">
        <f t="shared" ref="N130:N184" si="13">IF(M130&lt;=49.9,"F",IF(M130&lt;=54.9,"D",IF(M130&lt;=59.9,"D+",IF(M130&lt;=64.9,"C",IF(M130&lt;=69.9,"C+",IF(M130&lt;=74.9,"B",IF(M130&lt;=79.9,"B+",IF(M130&gt;=80,"A"))))))))</f>
        <v>A</v>
      </c>
    </row>
    <row r="131" ht="25.5" spans="1:14">
      <c r="A131" s="15">
        <v>128</v>
      </c>
      <c r="B131" s="15" t="s">
        <v>265</v>
      </c>
      <c r="C131" s="15" t="s">
        <v>266</v>
      </c>
      <c r="D131" s="16">
        <v>0</v>
      </c>
      <c r="E131" s="8">
        <v>10</v>
      </c>
      <c r="F131" s="16">
        <v>20</v>
      </c>
      <c r="G131" s="17">
        <f t="shared" si="5"/>
        <v>30</v>
      </c>
      <c r="H131" s="16">
        <v>51</v>
      </c>
      <c r="I131" s="16">
        <v>19</v>
      </c>
      <c r="J131" s="16">
        <v>17</v>
      </c>
      <c r="K131" s="18">
        <f t="shared" si="10"/>
        <v>87</v>
      </c>
      <c r="L131" s="17">
        <f t="shared" si="11"/>
        <v>52.2</v>
      </c>
      <c r="M131" s="19">
        <f t="shared" si="12"/>
        <v>82.2</v>
      </c>
      <c r="N131" s="20" t="str">
        <f t="shared" si="13"/>
        <v>A</v>
      </c>
    </row>
    <row r="132" ht="25.5" spans="1:14">
      <c r="A132" s="15">
        <v>129</v>
      </c>
      <c r="B132" s="15" t="s">
        <v>267</v>
      </c>
      <c r="C132" s="15" t="s">
        <v>268</v>
      </c>
      <c r="D132" s="16">
        <v>0</v>
      </c>
      <c r="E132" s="8">
        <v>5.5</v>
      </c>
      <c r="F132" s="16">
        <v>18</v>
      </c>
      <c r="G132" s="17">
        <f t="shared" ref="G132:G186" si="14">SUM(F132,E132,D132)</f>
        <v>23.5</v>
      </c>
      <c r="H132" s="16">
        <v>45</v>
      </c>
      <c r="I132" s="16">
        <v>15</v>
      </c>
      <c r="J132" s="16">
        <v>19</v>
      </c>
      <c r="K132" s="18">
        <f t="shared" si="10"/>
        <v>79</v>
      </c>
      <c r="L132" s="17">
        <f t="shared" si="11"/>
        <v>47.4</v>
      </c>
      <c r="M132" s="19">
        <f t="shared" si="12"/>
        <v>70.9</v>
      </c>
      <c r="N132" s="20" t="str">
        <f t="shared" si="13"/>
        <v>B</v>
      </c>
    </row>
    <row r="133" ht="25.5" spans="1:14">
      <c r="A133" s="15">
        <v>130</v>
      </c>
      <c r="B133" s="15" t="s">
        <v>269</v>
      </c>
      <c r="C133" s="15" t="s">
        <v>270</v>
      </c>
      <c r="D133" s="16">
        <v>0</v>
      </c>
      <c r="E133" s="8">
        <v>10</v>
      </c>
      <c r="F133" s="16">
        <v>20</v>
      </c>
      <c r="G133" s="17">
        <f t="shared" si="14"/>
        <v>30</v>
      </c>
      <c r="H133" s="16">
        <v>50</v>
      </c>
      <c r="I133" s="16">
        <v>18</v>
      </c>
      <c r="J133" s="16">
        <v>19</v>
      </c>
      <c r="K133" s="18">
        <f t="shared" si="10"/>
        <v>87</v>
      </c>
      <c r="L133" s="17">
        <f t="shared" si="11"/>
        <v>52.2</v>
      </c>
      <c r="M133" s="19">
        <f t="shared" si="12"/>
        <v>82.2</v>
      </c>
      <c r="N133" s="20" t="str">
        <f t="shared" si="13"/>
        <v>A</v>
      </c>
    </row>
    <row r="134" ht="25.5" spans="1:14">
      <c r="A134" s="15">
        <v>131</v>
      </c>
      <c r="B134" s="15" t="s">
        <v>271</v>
      </c>
      <c r="C134" s="15" t="s">
        <v>272</v>
      </c>
      <c r="D134" s="16">
        <v>0</v>
      </c>
      <c r="E134" s="8">
        <v>10</v>
      </c>
      <c r="F134" s="16">
        <v>14</v>
      </c>
      <c r="G134" s="17">
        <f t="shared" si="14"/>
        <v>24</v>
      </c>
      <c r="H134" s="16">
        <v>48</v>
      </c>
      <c r="I134" s="16">
        <v>17</v>
      </c>
      <c r="J134" s="16">
        <v>20</v>
      </c>
      <c r="K134" s="18">
        <f t="shared" si="10"/>
        <v>85</v>
      </c>
      <c r="L134" s="17">
        <f t="shared" si="11"/>
        <v>51</v>
      </c>
      <c r="M134" s="19">
        <f t="shared" si="12"/>
        <v>75</v>
      </c>
      <c r="N134" s="20" t="str">
        <f t="shared" si="13"/>
        <v>B+</v>
      </c>
    </row>
    <row r="135" ht="25.5" spans="1:14">
      <c r="A135" s="15">
        <v>132</v>
      </c>
      <c r="B135" s="15" t="s">
        <v>273</v>
      </c>
      <c r="C135" s="15" t="s">
        <v>274</v>
      </c>
      <c r="D135" s="16">
        <v>0</v>
      </c>
      <c r="E135" s="8">
        <v>0</v>
      </c>
      <c r="F135" s="16">
        <v>15</v>
      </c>
      <c r="G135" s="17">
        <f t="shared" si="14"/>
        <v>15</v>
      </c>
      <c r="H135" s="16">
        <v>48</v>
      </c>
      <c r="I135" s="16">
        <v>19</v>
      </c>
      <c r="J135" s="16">
        <v>16</v>
      </c>
      <c r="K135" s="18">
        <f t="shared" si="10"/>
        <v>83</v>
      </c>
      <c r="L135" s="17">
        <f t="shared" si="11"/>
        <v>49.8</v>
      </c>
      <c r="M135" s="19">
        <f t="shared" si="12"/>
        <v>64.8</v>
      </c>
      <c r="N135" s="20" t="str">
        <f t="shared" si="13"/>
        <v>C</v>
      </c>
    </row>
    <row r="136" ht="25.5" spans="1:14">
      <c r="A136" s="15">
        <v>133</v>
      </c>
      <c r="B136" s="15" t="s">
        <v>275</v>
      </c>
      <c r="C136" s="15" t="s">
        <v>276</v>
      </c>
      <c r="D136" s="16">
        <v>0</v>
      </c>
      <c r="E136" s="8">
        <v>4.5</v>
      </c>
      <c r="F136" s="16">
        <v>17</v>
      </c>
      <c r="G136" s="17">
        <f t="shared" si="14"/>
        <v>21.5</v>
      </c>
      <c r="H136" s="16">
        <v>51</v>
      </c>
      <c r="I136" s="16">
        <v>19</v>
      </c>
      <c r="J136" s="16">
        <v>17</v>
      </c>
      <c r="K136" s="18">
        <f t="shared" si="10"/>
        <v>87</v>
      </c>
      <c r="L136" s="17">
        <f t="shared" si="11"/>
        <v>52.2</v>
      </c>
      <c r="M136" s="19">
        <f t="shared" si="12"/>
        <v>73.7</v>
      </c>
      <c r="N136" s="20" t="str">
        <f t="shared" si="13"/>
        <v>B</v>
      </c>
    </row>
    <row r="137" ht="25.5" spans="1:14">
      <c r="A137" s="15">
        <v>134</v>
      </c>
      <c r="B137" s="15" t="s">
        <v>277</v>
      </c>
      <c r="C137" s="15" t="s">
        <v>278</v>
      </c>
      <c r="D137" s="16">
        <v>0</v>
      </c>
      <c r="E137" s="8">
        <v>10</v>
      </c>
      <c r="F137" s="16">
        <v>20</v>
      </c>
      <c r="G137" s="17">
        <f t="shared" si="14"/>
        <v>30</v>
      </c>
      <c r="H137" s="16">
        <v>47</v>
      </c>
      <c r="I137" s="16">
        <v>18</v>
      </c>
      <c r="J137" s="16">
        <v>19</v>
      </c>
      <c r="K137" s="18">
        <f t="shared" si="10"/>
        <v>84</v>
      </c>
      <c r="L137" s="17">
        <f t="shared" si="11"/>
        <v>50.4</v>
      </c>
      <c r="M137" s="19">
        <f t="shared" si="12"/>
        <v>80.4</v>
      </c>
      <c r="N137" s="20" t="str">
        <f t="shared" si="13"/>
        <v>A</v>
      </c>
    </row>
    <row r="138" ht="25.5" spans="1:14">
      <c r="A138" s="15">
        <v>135</v>
      </c>
      <c r="B138" s="15" t="s">
        <v>279</v>
      </c>
      <c r="C138" s="15" t="s">
        <v>280</v>
      </c>
      <c r="D138" s="16">
        <v>0</v>
      </c>
      <c r="E138" s="8">
        <v>0</v>
      </c>
      <c r="F138" s="16">
        <v>15</v>
      </c>
      <c r="G138" s="17">
        <f t="shared" si="14"/>
        <v>15</v>
      </c>
      <c r="H138" s="16">
        <v>43</v>
      </c>
      <c r="I138" s="16">
        <v>16</v>
      </c>
      <c r="J138" s="16">
        <v>17</v>
      </c>
      <c r="K138" s="18">
        <f t="shared" si="10"/>
        <v>76</v>
      </c>
      <c r="L138" s="17">
        <f t="shared" si="11"/>
        <v>45.6</v>
      </c>
      <c r="M138" s="19">
        <f t="shared" si="12"/>
        <v>60.6</v>
      </c>
      <c r="N138" s="20" t="str">
        <f t="shared" si="13"/>
        <v>C</v>
      </c>
    </row>
    <row r="139" ht="25.5" spans="1:14">
      <c r="A139" s="15">
        <v>136</v>
      </c>
      <c r="B139" s="15" t="s">
        <v>281</v>
      </c>
      <c r="C139" s="15" t="s">
        <v>282</v>
      </c>
      <c r="D139" s="16">
        <v>0</v>
      </c>
      <c r="E139" s="8">
        <v>10</v>
      </c>
      <c r="F139" s="16">
        <v>16</v>
      </c>
      <c r="G139" s="17">
        <f t="shared" si="14"/>
        <v>26</v>
      </c>
      <c r="H139" s="16">
        <v>49</v>
      </c>
      <c r="I139" s="16">
        <v>19</v>
      </c>
      <c r="J139" s="16">
        <v>19</v>
      </c>
      <c r="K139" s="18">
        <f t="shared" si="10"/>
        <v>87</v>
      </c>
      <c r="L139" s="17">
        <f t="shared" si="11"/>
        <v>52.2</v>
      </c>
      <c r="M139" s="19">
        <f t="shared" si="12"/>
        <v>78.2</v>
      </c>
      <c r="N139" s="20" t="str">
        <f t="shared" si="13"/>
        <v>B+</v>
      </c>
    </row>
    <row r="140" ht="25.5" spans="1:14">
      <c r="A140" s="15">
        <v>137</v>
      </c>
      <c r="B140" s="15" t="s">
        <v>283</v>
      </c>
      <c r="C140" s="15" t="s">
        <v>284</v>
      </c>
      <c r="D140" s="16">
        <v>0</v>
      </c>
      <c r="E140" s="8">
        <v>10</v>
      </c>
      <c r="F140" s="16">
        <v>18</v>
      </c>
      <c r="G140" s="17">
        <f t="shared" si="14"/>
        <v>28</v>
      </c>
      <c r="H140" s="16">
        <v>47</v>
      </c>
      <c r="I140" s="16">
        <v>20</v>
      </c>
      <c r="J140" s="16">
        <v>20</v>
      </c>
      <c r="K140" s="18">
        <f t="shared" si="10"/>
        <v>87</v>
      </c>
      <c r="L140" s="17">
        <f t="shared" si="11"/>
        <v>52.2</v>
      </c>
      <c r="M140" s="19">
        <f t="shared" si="12"/>
        <v>80.2</v>
      </c>
      <c r="N140" s="20" t="str">
        <f t="shared" si="13"/>
        <v>A</v>
      </c>
    </row>
    <row r="141" ht="25.5" spans="1:14">
      <c r="A141" s="15">
        <v>138</v>
      </c>
      <c r="B141" s="15" t="s">
        <v>285</v>
      </c>
      <c r="C141" s="15" t="s">
        <v>286</v>
      </c>
      <c r="D141" s="16">
        <v>0</v>
      </c>
      <c r="E141" s="8">
        <v>8.5</v>
      </c>
      <c r="F141" s="16">
        <v>19</v>
      </c>
      <c r="G141" s="17">
        <f t="shared" si="14"/>
        <v>27.5</v>
      </c>
      <c r="H141" s="16">
        <v>44</v>
      </c>
      <c r="I141" s="16">
        <v>16</v>
      </c>
      <c r="J141" s="16">
        <v>17</v>
      </c>
      <c r="K141" s="18">
        <f t="shared" si="10"/>
        <v>77</v>
      </c>
      <c r="L141" s="17">
        <f t="shared" si="11"/>
        <v>46.2</v>
      </c>
      <c r="M141" s="19">
        <f t="shared" si="12"/>
        <v>73.7</v>
      </c>
      <c r="N141" s="20" t="str">
        <f t="shared" si="13"/>
        <v>B</v>
      </c>
    </row>
    <row r="142" ht="25.5" spans="1:14">
      <c r="A142" s="15">
        <v>139</v>
      </c>
      <c r="B142" s="15" t="s">
        <v>287</v>
      </c>
      <c r="C142" s="15" t="s">
        <v>288</v>
      </c>
      <c r="D142" s="16">
        <v>0</v>
      </c>
      <c r="E142" s="8">
        <v>7</v>
      </c>
      <c r="F142" s="16">
        <v>16</v>
      </c>
      <c r="G142" s="17">
        <f t="shared" si="14"/>
        <v>23</v>
      </c>
      <c r="H142" s="16">
        <v>48</v>
      </c>
      <c r="I142" s="16">
        <v>20</v>
      </c>
      <c r="J142" s="16">
        <v>17</v>
      </c>
      <c r="K142" s="18">
        <f t="shared" si="10"/>
        <v>85</v>
      </c>
      <c r="L142" s="17">
        <f t="shared" si="11"/>
        <v>51</v>
      </c>
      <c r="M142" s="19">
        <f t="shared" si="12"/>
        <v>74</v>
      </c>
      <c r="N142" s="20" t="str">
        <f t="shared" si="13"/>
        <v>B</v>
      </c>
    </row>
    <row r="143" ht="25.5" spans="1:14">
      <c r="A143" s="15">
        <v>140</v>
      </c>
      <c r="B143" s="15" t="s">
        <v>289</v>
      </c>
      <c r="C143" s="15" t="s">
        <v>290</v>
      </c>
      <c r="D143" s="16">
        <v>0</v>
      </c>
      <c r="E143" s="8">
        <v>10</v>
      </c>
      <c r="F143" s="16">
        <v>16</v>
      </c>
      <c r="G143" s="17">
        <f t="shared" si="14"/>
        <v>26</v>
      </c>
      <c r="H143" s="16">
        <v>48</v>
      </c>
      <c r="I143" s="16">
        <v>19</v>
      </c>
      <c r="J143" s="16">
        <v>20</v>
      </c>
      <c r="K143" s="18">
        <f t="shared" si="10"/>
        <v>87</v>
      </c>
      <c r="L143" s="17">
        <f t="shared" si="11"/>
        <v>52.2</v>
      </c>
      <c r="M143" s="19">
        <f t="shared" si="12"/>
        <v>78.2</v>
      </c>
      <c r="N143" s="20" t="str">
        <f t="shared" si="13"/>
        <v>B+</v>
      </c>
    </row>
    <row r="144" ht="25.5" spans="1:14">
      <c r="A144" s="15">
        <v>141</v>
      </c>
      <c r="B144" s="15" t="s">
        <v>291</v>
      </c>
      <c r="C144" s="15" t="s">
        <v>292</v>
      </c>
      <c r="D144" s="16">
        <v>0</v>
      </c>
      <c r="E144" s="8">
        <v>0</v>
      </c>
      <c r="F144" s="16">
        <v>19</v>
      </c>
      <c r="G144" s="17">
        <f t="shared" si="14"/>
        <v>19</v>
      </c>
      <c r="H144" s="16">
        <v>44</v>
      </c>
      <c r="I144" s="16">
        <v>16</v>
      </c>
      <c r="J144" s="16">
        <v>9</v>
      </c>
      <c r="K144" s="18">
        <f t="shared" si="10"/>
        <v>69</v>
      </c>
      <c r="L144" s="17">
        <f t="shared" si="11"/>
        <v>41.4</v>
      </c>
      <c r="M144" s="19">
        <f t="shared" si="12"/>
        <v>60.4</v>
      </c>
      <c r="N144" s="20" t="str">
        <f t="shared" si="13"/>
        <v>C</v>
      </c>
    </row>
    <row r="145" ht="25.5" spans="1:14">
      <c r="A145" s="15">
        <v>142</v>
      </c>
      <c r="B145" s="15" t="s">
        <v>293</v>
      </c>
      <c r="C145" s="15" t="s">
        <v>294</v>
      </c>
      <c r="D145" s="16">
        <v>0</v>
      </c>
      <c r="E145" s="8">
        <v>7</v>
      </c>
      <c r="F145" s="16">
        <v>18</v>
      </c>
      <c r="G145" s="17">
        <f t="shared" si="14"/>
        <v>25</v>
      </c>
      <c r="H145" s="16">
        <v>32</v>
      </c>
      <c r="I145" s="16">
        <v>11</v>
      </c>
      <c r="J145" s="16">
        <v>6</v>
      </c>
      <c r="K145" s="18">
        <f t="shared" si="10"/>
        <v>49</v>
      </c>
      <c r="L145" s="17">
        <f t="shared" si="11"/>
        <v>29.4</v>
      </c>
      <c r="M145" s="19">
        <f t="shared" si="12"/>
        <v>54.4</v>
      </c>
      <c r="N145" s="20" t="str">
        <f t="shared" si="13"/>
        <v>D</v>
      </c>
    </row>
    <row r="146" ht="25.5" spans="1:14">
      <c r="A146" s="15">
        <v>144</v>
      </c>
      <c r="B146" s="15" t="s">
        <v>295</v>
      </c>
      <c r="C146" s="15" t="s">
        <v>296</v>
      </c>
      <c r="D146" s="16">
        <v>0</v>
      </c>
      <c r="E146" s="8">
        <v>6</v>
      </c>
      <c r="F146" s="16">
        <v>17</v>
      </c>
      <c r="G146" s="17">
        <f t="shared" si="14"/>
        <v>23</v>
      </c>
      <c r="H146" s="16">
        <v>45</v>
      </c>
      <c r="I146" s="16">
        <v>14</v>
      </c>
      <c r="J146" s="16">
        <v>17</v>
      </c>
      <c r="K146" s="18">
        <f t="shared" si="10"/>
        <v>76</v>
      </c>
      <c r="L146" s="17">
        <f t="shared" si="11"/>
        <v>45.6</v>
      </c>
      <c r="M146" s="19">
        <f t="shared" si="12"/>
        <v>68.6</v>
      </c>
      <c r="N146" s="20" t="str">
        <f t="shared" si="13"/>
        <v>C+</v>
      </c>
    </row>
    <row r="147" ht="25.5" spans="1:14">
      <c r="A147" s="15">
        <v>145</v>
      </c>
      <c r="B147" s="15" t="s">
        <v>297</v>
      </c>
      <c r="C147" s="15" t="s">
        <v>298</v>
      </c>
      <c r="D147" s="16">
        <v>0</v>
      </c>
      <c r="E147" s="8">
        <v>8.5</v>
      </c>
      <c r="F147" s="16">
        <v>20</v>
      </c>
      <c r="G147" s="17">
        <f t="shared" si="14"/>
        <v>28.5</v>
      </c>
      <c r="H147" s="16">
        <v>42</v>
      </c>
      <c r="I147" s="16">
        <v>18</v>
      </c>
      <c r="J147" s="16">
        <v>11</v>
      </c>
      <c r="K147" s="18">
        <f t="shared" si="10"/>
        <v>71</v>
      </c>
      <c r="L147" s="17">
        <f t="shared" si="11"/>
        <v>42.6</v>
      </c>
      <c r="M147" s="19">
        <f t="shared" si="12"/>
        <v>71.1</v>
      </c>
      <c r="N147" s="20" t="str">
        <f t="shared" si="13"/>
        <v>B</v>
      </c>
    </row>
    <row r="148" ht="25.5" spans="1:14">
      <c r="A148" s="15">
        <v>146</v>
      </c>
      <c r="B148" s="15" t="s">
        <v>299</v>
      </c>
      <c r="C148" s="15" t="s">
        <v>300</v>
      </c>
      <c r="D148" s="16">
        <v>0</v>
      </c>
      <c r="E148" s="8">
        <v>2.5</v>
      </c>
      <c r="F148" s="16">
        <v>19</v>
      </c>
      <c r="G148" s="17">
        <f t="shared" si="14"/>
        <v>21.5</v>
      </c>
      <c r="H148" s="16">
        <v>44</v>
      </c>
      <c r="I148" s="16">
        <v>20</v>
      </c>
      <c r="J148" s="16">
        <v>19</v>
      </c>
      <c r="K148" s="18">
        <f t="shared" si="10"/>
        <v>83</v>
      </c>
      <c r="L148" s="17">
        <f t="shared" si="11"/>
        <v>49.8</v>
      </c>
      <c r="M148" s="19">
        <f t="shared" si="12"/>
        <v>71.3</v>
      </c>
      <c r="N148" s="20" t="str">
        <f t="shared" si="13"/>
        <v>B</v>
      </c>
    </row>
    <row r="149" ht="25.5" spans="1:14">
      <c r="A149" s="15">
        <v>147</v>
      </c>
      <c r="B149" s="15" t="s">
        <v>301</v>
      </c>
      <c r="C149" s="15" t="s">
        <v>302</v>
      </c>
      <c r="D149" s="16">
        <v>0</v>
      </c>
      <c r="E149" s="8">
        <v>10</v>
      </c>
      <c r="F149" s="16">
        <v>17</v>
      </c>
      <c r="G149" s="17">
        <f t="shared" si="14"/>
        <v>27</v>
      </c>
      <c r="H149" s="16">
        <v>45</v>
      </c>
      <c r="I149" s="16">
        <v>17</v>
      </c>
      <c r="J149" s="16">
        <v>14</v>
      </c>
      <c r="K149" s="18">
        <f t="shared" si="10"/>
        <v>76</v>
      </c>
      <c r="L149" s="17">
        <f t="shared" si="11"/>
        <v>45.6</v>
      </c>
      <c r="M149" s="19">
        <f t="shared" si="12"/>
        <v>72.6</v>
      </c>
      <c r="N149" s="20" t="str">
        <f t="shared" si="13"/>
        <v>B</v>
      </c>
    </row>
    <row r="150" ht="25.5" spans="1:14">
      <c r="A150" s="15">
        <v>150</v>
      </c>
      <c r="B150" s="15" t="s">
        <v>303</v>
      </c>
      <c r="C150" s="15" t="s">
        <v>304</v>
      </c>
      <c r="D150" s="16">
        <v>0</v>
      </c>
      <c r="E150" s="8">
        <v>10</v>
      </c>
      <c r="F150" s="16">
        <v>19</v>
      </c>
      <c r="G150" s="17">
        <f t="shared" si="14"/>
        <v>29</v>
      </c>
      <c r="H150" s="16">
        <v>44</v>
      </c>
      <c r="I150" s="16">
        <v>16</v>
      </c>
      <c r="J150" s="16">
        <v>16</v>
      </c>
      <c r="K150" s="18">
        <f t="shared" si="10"/>
        <v>76</v>
      </c>
      <c r="L150" s="17">
        <f t="shared" si="11"/>
        <v>45.6</v>
      </c>
      <c r="M150" s="19">
        <f t="shared" si="12"/>
        <v>74.6</v>
      </c>
      <c r="N150" s="20" t="str">
        <f t="shared" si="13"/>
        <v>B</v>
      </c>
    </row>
    <row r="151" ht="25.5" spans="1:14">
      <c r="A151" s="15">
        <v>152</v>
      </c>
      <c r="B151" s="15" t="s">
        <v>305</v>
      </c>
      <c r="C151" s="15" t="s">
        <v>306</v>
      </c>
      <c r="D151" s="16">
        <v>0</v>
      </c>
      <c r="E151" s="8">
        <v>3</v>
      </c>
      <c r="F151" s="16">
        <v>15</v>
      </c>
      <c r="G151" s="17">
        <f t="shared" si="14"/>
        <v>18</v>
      </c>
      <c r="H151" s="16">
        <v>40</v>
      </c>
      <c r="I151" s="16">
        <v>20</v>
      </c>
      <c r="J151" s="16">
        <v>19</v>
      </c>
      <c r="K151" s="18">
        <f t="shared" si="10"/>
        <v>79</v>
      </c>
      <c r="L151" s="17">
        <f t="shared" si="11"/>
        <v>47.4</v>
      </c>
      <c r="M151" s="19">
        <f t="shared" si="12"/>
        <v>65.4</v>
      </c>
      <c r="N151" s="20" t="str">
        <f t="shared" si="13"/>
        <v>C+</v>
      </c>
    </row>
    <row r="152" ht="25.5" spans="1:14">
      <c r="A152" s="15">
        <v>155</v>
      </c>
      <c r="B152" s="15" t="s">
        <v>307</v>
      </c>
      <c r="C152" s="15" t="s">
        <v>308</v>
      </c>
      <c r="D152" s="16">
        <v>0</v>
      </c>
      <c r="E152" s="8">
        <v>7</v>
      </c>
      <c r="F152" s="16">
        <v>17</v>
      </c>
      <c r="G152" s="17">
        <f t="shared" si="14"/>
        <v>24</v>
      </c>
      <c r="H152" s="16">
        <v>34</v>
      </c>
      <c r="I152" s="16">
        <v>18</v>
      </c>
      <c r="J152" s="16">
        <v>12</v>
      </c>
      <c r="K152" s="18">
        <f t="shared" si="10"/>
        <v>64</v>
      </c>
      <c r="L152" s="17">
        <f t="shared" si="11"/>
        <v>38.4</v>
      </c>
      <c r="M152" s="19">
        <f t="shared" si="12"/>
        <v>62.4</v>
      </c>
      <c r="N152" s="20" t="str">
        <f t="shared" si="13"/>
        <v>C</v>
      </c>
    </row>
    <row r="153" ht="25.5" spans="1:14">
      <c r="A153" s="15">
        <v>156</v>
      </c>
      <c r="B153" s="15" t="s">
        <v>309</v>
      </c>
      <c r="C153" s="15" t="s">
        <v>310</v>
      </c>
      <c r="D153" s="16">
        <v>0</v>
      </c>
      <c r="E153" s="8">
        <v>3</v>
      </c>
      <c r="F153" s="16">
        <v>18</v>
      </c>
      <c r="G153" s="17">
        <f t="shared" si="14"/>
        <v>21</v>
      </c>
      <c r="H153" s="16">
        <v>43</v>
      </c>
      <c r="I153" s="16">
        <v>14</v>
      </c>
      <c r="J153" s="16">
        <v>11</v>
      </c>
      <c r="K153" s="18">
        <f t="shared" si="10"/>
        <v>68</v>
      </c>
      <c r="L153" s="17">
        <f t="shared" si="11"/>
        <v>40.8</v>
      </c>
      <c r="M153" s="19">
        <f t="shared" si="12"/>
        <v>61.8</v>
      </c>
      <c r="N153" s="20" t="str">
        <f t="shared" si="13"/>
        <v>C</v>
      </c>
    </row>
    <row r="154" ht="25.5" spans="1:14">
      <c r="A154" s="15">
        <v>157</v>
      </c>
      <c r="B154" s="15" t="s">
        <v>311</v>
      </c>
      <c r="C154" s="15" t="s">
        <v>312</v>
      </c>
      <c r="D154" s="16">
        <v>0</v>
      </c>
      <c r="E154" s="8">
        <v>8</v>
      </c>
      <c r="F154" s="16">
        <v>19</v>
      </c>
      <c r="G154" s="17">
        <f t="shared" si="14"/>
        <v>27</v>
      </c>
      <c r="H154" s="16">
        <v>39</v>
      </c>
      <c r="I154" s="16">
        <v>19</v>
      </c>
      <c r="J154" s="16">
        <v>7</v>
      </c>
      <c r="K154" s="18">
        <f t="shared" si="10"/>
        <v>65</v>
      </c>
      <c r="L154" s="17">
        <f t="shared" si="11"/>
        <v>39</v>
      </c>
      <c r="M154" s="19">
        <f t="shared" si="12"/>
        <v>66</v>
      </c>
      <c r="N154" s="20" t="str">
        <f t="shared" si="13"/>
        <v>C+</v>
      </c>
    </row>
    <row r="155" ht="25.5" spans="1:14">
      <c r="A155" s="15">
        <v>158</v>
      </c>
      <c r="B155" s="15" t="s">
        <v>313</v>
      </c>
      <c r="C155" s="15" t="s">
        <v>314</v>
      </c>
      <c r="D155" s="16">
        <v>0</v>
      </c>
      <c r="E155" s="8">
        <v>10</v>
      </c>
      <c r="F155" s="16">
        <v>20</v>
      </c>
      <c r="G155" s="17">
        <f t="shared" si="14"/>
        <v>30</v>
      </c>
      <c r="H155" s="16">
        <v>47</v>
      </c>
      <c r="I155" s="16">
        <v>17</v>
      </c>
      <c r="J155" s="16">
        <v>16</v>
      </c>
      <c r="K155" s="18">
        <f t="shared" si="10"/>
        <v>80</v>
      </c>
      <c r="L155" s="17">
        <f t="shared" si="11"/>
        <v>48</v>
      </c>
      <c r="M155" s="19">
        <f t="shared" si="12"/>
        <v>78</v>
      </c>
      <c r="N155" s="20" t="str">
        <f t="shared" si="13"/>
        <v>B+</v>
      </c>
    </row>
    <row r="156" ht="25.5" spans="1:14">
      <c r="A156" s="15">
        <v>159</v>
      </c>
      <c r="B156" s="15" t="s">
        <v>315</v>
      </c>
      <c r="C156" s="15" t="s">
        <v>316</v>
      </c>
      <c r="D156" s="16">
        <v>0</v>
      </c>
      <c r="E156" s="8">
        <v>10</v>
      </c>
      <c r="F156" s="16">
        <v>20</v>
      </c>
      <c r="G156" s="17">
        <f t="shared" si="14"/>
        <v>30</v>
      </c>
      <c r="H156" s="16">
        <v>52</v>
      </c>
      <c r="I156" s="16">
        <v>19</v>
      </c>
      <c r="J156" s="16">
        <v>16</v>
      </c>
      <c r="K156" s="18">
        <f t="shared" si="10"/>
        <v>87</v>
      </c>
      <c r="L156" s="17">
        <f t="shared" si="11"/>
        <v>52.2</v>
      </c>
      <c r="M156" s="19">
        <f t="shared" si="12"/>
        <v>82.2</v>
      </c>
      <c r="N156" s="20" t="str">
        <f t="shared" si="13"/>
        <v>A</v>
      </c>
    </row>
    <row r="157" ht="25.5" spans="1:14">
      <c r="A157" s="15">
        <v>160</v>
      </c>
      <c r="B157" s="15" t="s">
        <v>317</v>
      </c>
      <c r="C157" s="15" t="s">
        <v>318</v>
      </c>
      <c r="D157" s="16">
        <v>0</v>
      </c>
      <c r="E157" s="8">
        <v>10</v>
      </c>
      <c r="F157" s="16">
        <v>20</v>
      </c>
      <c r="G157" s="17">
        <f t="shared" si="14"/>
        <v>30</v>
      </c>
      <c r="H157" s="16">
        <v>50</v>
      </c>
      <c r="I157" s="16">
        <v>18</v>
      </c>
      <c r="J157" s="16">
        <v>17</v>
      </c>
      <c r="K157" s="18">
        <f t="shared" si="10"/>
        <v>85</v>
      </c>
      <c r="L157" s="17">
        <f t="shared" si="11"/>
        <v>51</v>
      </c>
      <c r="M157" s="19">
        <f t="shared" si="12"/>
        <v>81</v>
      </c>
      <c r="N157" s="20" t="str">
        <f t="shared" si="13"/>
        <v>A</v>
      </c>
    </row>
    <row r="158" ht="25.5" spans="1:14">
      <c r="A158" s="15">
        <v>161</v>
      </c>
      <c r="B158" s="15" t="s">
        <v>319</v>
      </c>
      <c r="C158" s="15" t="s">
        <v>320</v>
      </c>
      <c r="D158" s="16">
        <v>0</v>
      </c>
      <c r="E158" s="8">
        <v>9</v>
      </c>
      <c r="F158" s="16">
        <v>19</v>
      </c>
      <c r="G158" s="17">
        <f t="shared" si="14"/>
        <v>28</v>
      </c>
      <c r="H158" s="16">
        <v>59</v>
      </c>
      <c r="I158" s="16">
        <v>19</v>
      </c>
      <c r="J158" s="16">
        <v>15</v>
      </c>
      <c r="K158" s="18">
        <f t="shared" si="10"/>
        <v>93</v>
      </c>
      <c r="L158" s="17">
        <f t="shared" si="11"/>
        <v>55.8</v>
      </c>
      <c r="M158" s="19">
        <f t="shared" si="12"/>
        <v>83.8</v>
      </c>
      <c r="N158" s="20" t="str">
        <f t="shared" si="13"/>
        <v>A</v>
      </c>
    </row>
    <row r="159" ht="25.5" spans="1:14">
      <c r="A159" s="15">
        <v>162</v>
      </c>
      <c r="B159" s="15" t="s">
        <v>321</v>
      </c>
      <c r="C159" s="15" t="s">
        <v>322</v>
      </c>
      <c r="D159" s="16">
        <v>0</v>
      </c>
      <c r="E159" s="8">
        <v>6</v>
      </c>
      <c r="F159" s="16">
        <v>16</v>
      </c>
      <c r="G159" s="17">
        <f t="shared" si="14"/>
        <v>22</v>
      </c>
      <c r="H159" s="16">
        <v>46</v>
      </c>
      <c r="I159" s="16">
        <v>16</v>
      </c>
      <c r="J159" s="16">
        <v>16</v>
      </c>
      <c r="K159" s="18">
        <f t="shared" si="10"/>
        <v>78</v>
      </c>
      <c r="L159" s="17">
        <f t="shared" si="11"/>
        <v>46.8</v>
      </c>
      <c r="M159" s="19">
        <f t="shared" si="12"/>
        <v>68.8</v>
      </c>
      <c r="N159" s="20" t="str">
        <f t="shared" si="13"/>
        <v>C+</v>
      </c>
    </row>
    <row r="160" ht="25.5" spans="1:14">
      <c r="A160" s="15">
        <v>163</v>
      </c>
      <c r="B160" s="15" t="s">
        <v>323</v>
      </c>
      <c r="C160" s="15" t="s">
        <v>324</v>
      </c>
      <c r="D160" s="16"/>
      <c r="E160" s="8">
        <v>9.5</v>
      </c>
      <c r="F160" s="16">
        <v>18</v>
      </c>
      <c r="G160" s="17">
        <f t="shared" si="14"/>
        <v>27.5</v>
      </c>
      <c r="H160" s="16">
        <v>48</v>
      </c>
      <c r="I160" s="16">
        <v>17</v>
      </c>
      <c r="J160" s="16">
        <v>20</v>
      </c>
      <c r="K160" s="18">
        <f t="shared" si="10"/>
        <v>85</v>
      </c>
      <c r="L160" s="17">
        <f t="shared" si="11"/>
        <v>51</v>
      </c>
      <c r="M160" s="19">
        <f t="shared" si="12"/>
        <v>78.5</v>
      </c>
      <c r="N160" s="20" t="str">
        <f t="shared" si="13"/>
        <v>B+</v>
      </c>
    </row>
    <row r="161" ht="25.5" spans="1:14">
      <c r="A161" s="15">
        <v>164</v>
      </c>
      <c r="B161" s="15" t="s">
        <v>325</v>
      </c>
      <c r="C161" s="15" t="s">
        <v>326</v>
      </c>
      <c r="D161" s="16">
        <v>0</v>
      </c>
      <c r="E161" s="8">
        <v>10</v>
      </c>
      <c r="F161" s="16">
        <v>18</v>
      </c>
      <c r="G161" s="17">
        <f t="shared" si="14"/>
        <v>28</v>
      </c>
      <c r="H161" s="16">
        <v>45</v>
      </c>
      <c r="I161" s="16">
        <v>19</v>
      </c>
      <c r="J161" s="16">
        <v>10</v>
      </c>
      <c r="K161" s="18">
        <f t="shared" si="10"/>
        <v>74</v>
      </c>
      <c r="L161" s="17">
        <f t="shared" si="11"/>
        <v>44.4</v>
      </c>
      <c r="M161" s="19">
        <f t="shared" si="12"/>
        <v>72.4</v>
      </c>
      <c r="N161" s="20" t="str">
        <f t="shared" si="13"/>
        <v>B</v>
      </c>
    </row>
    <row r="162" ht="25.5" spans="1:14">
      <c r="A162" s="15">
        <v>165</v>
      </c>
      <c r="B162" s="15" t="s">
        <v>327</v>
      </c>
      <c r="C162" s="15" t="s">
        <v>328</v>
      </c>
      <c r="D162" s="16">
        <v>0</v>
      </c>
      <c r="E162" s="8">
        <v>5</v>
      </c>
      <c r="F162" s="16">
        <v>19</v>
      </c>
      <c r="G162" s="17">
        <f t="shared" si="14"/>
        <v>24</v>
      </c>
      <c r="H162" s="16">
        <v>44</v>
      </c>
      <c r="I162" s="16">
        <v>11</v>
      </c>
      <c r="J162" s="16">
        <v>15</v>
      </c>
      <c r="K162" s="18">
        <f t="shared" si="10"/>
        <v>70</v>
      </c>
      <c r="L162" s="17">
        <f t="shared" si="11"/>
        <v>42</v>
      </c>
      <c r="M162" s="19">
        <f t="shared" si="12"/>
        <v>66</v>
      </c>
      <c r="N162" s="20" t="str">
        <f t="shared" si="13"/>
        <v>C+</v>
      </c>
    </row>
    <row r="163" ht="25.5" spans="1:14">
      <c r="A163" s="15">
        <v>166</v>
      </c>
      <c r="B163" s="15" t="s">
        <v>329</v>
      </c>
      <c r="C163" s="15" t="s">
        <v>330</v>
      </c>
      <c r="D163" s="16">
        <v>0</v>
      </c>
      <c r="E163" s="8">
        <v>10</v>
      </c>
      <c r="F163" s="16">
        <v>17</v>
      </c>
      <c r="G163" s="17">
        <f t="shared" si="14"/>
        <v>27</v>
      </c>
      <c r="H163" s="16">
        <v>52</v>
      </c>
      <c r="I163" s="16">
        <v>20</v>
      </c>
      <c r="J163" s="16">
        <v>20</v>
      </c>
      <c r="K163" s="18">
        <f t="shared" si="10"/>
        <v>92</v>
      </c>
      <c r="L163" s="17">
        <f t="shared" si="11"/>
        <v>55.2</v>
      </c>
      <c r="M163" s="19">
        <f t="shared" si="12"/>
        <v>82.2</v>
      </c>
      <c r="N163" s="20" t="str">
        <f t="shared" si="13"/>
        <v>A</v>
      </c>
    </row>
    <row r="164" ht="25.5" spans="1:14">
      <c r="A164" s="15">
        <v>167</v>
      </c>
      <c r="B164" s="15" t="s">
        <v>331</v>
      </c>
      <c r="C164" s="15" t="s">
        <v>332</v>
      </c>
      <c r="D164" s="16">
        <v>0</v>
      </c>
      <c r="E164" s="8">
        <v>8</v>
      </c>
      <c r="F164" s="16">
        <v>16</v>
      </c>
      <c r="G164" s="17">
        <f t="shared" si="14"/>
        <v>24</v>
      </c>
      <c r="H164" s="16">
        <v>46</v>
      </c>
      <c r="I164" s="16">
        <v>20</v>
      </c>
      <c r="J164" s="16">
        <v>17</v>
      </c>
      <c r="K164" s="18">
        <f t="shared" si="10"/>
        <v>83</v>
      </c>
      <c r="L164" s="17">
        <f t="shared" si="11"/>
        <v>49.8</v>
      </c>
      <c r="M164" s="19">
        <f t="shared" si="12"/>
        <v>73.8</v>
      </c>
      <c r="N164" s="20" t="str">
        <f t="shared" si="13"/>
        <v>B</v>
      </c>
    </row>
    <row r="165" ht="25.5" spans="1:14">
      <c r="A165" s="15">
        <v>168</v>
      </c>
      <c r="B165" s="15" t="s">
        <v>333</v>
      </c>
      <c r="C165" s="15" t="s">
        <v>334</v>
      </c>
      <c r="D165" s="16">
        <v>0</v>
      </c>
      <c r="E165" s="8">
        <v>6</v>
      </c>
      <c r="F165" s="16">
        <v>17</v>
      </c>
      <c r="G165" s="17">
        <f t="shared" si="14"/>
        <v>23</v>
      </c>
      <c r="H165" s="16">
        <v>40</v>
      </c>
      <c r="I165" s="16">
        <v>14</v>
      </c>
      <c r="J165" s="16">
        <v>13</v>
      </c>
      <c r="K165" s="18">
        <f t="shared" si="10"/>
        <v>67</v>
      </c>
      <c r="L165" s="17">
        <f t="shared" si="11"/>
        <v>40.2</v>
      </c>
      <c r="M165" s="19">
        <f t="shared" si="12"/>
        <v>63.2</v>
      </c>
      <c r="N165" s="20" t="str">
        <f t="shared" si="13"/>
        <v>C</v>
      </c>
    </row>
    <row r="166" ht="25.5" spans="1:14">
      <c r="A166" s="15">
        <v>169</v>
      </c>
      <c r="B166" s="15" t="s">
        <v>335</v>
      </c>
      <c r="C166" s="15" t="s">
        <v>336</v>
      </c>
      <c r="D166" s="16">
        <v>0</v>
      </c>
      <c r="E166" s="8">
        <v>0</v>
      </c>
      <c r="F166" s="16">
        <v>14</v>
      </c>
      <c r="G166" s="17">
        <f t="shared" si="14"/>
        <v>14</v>
      </c>
      <c r="H166" s="16">
        <v>48</v>
      </c>
      <c r="I166" s="16">
        <v>9</v>
      </c>
      <c r="J166" s="16">
        <v>11</v>
      </c>
      <c r="K166" s="18">
        <f t="shared" si="10"/>
        <v>68</v>
      </c>
      <c r="L166" s="17">
        <f t="shared" si="11"/>
        <v>40.8</v>
      </c>
      <c r="M166" s="19">
        <f t="shared" si="12"/>
        <v>54.8</v>
      </c>
      <c r="N166" s="20" t="str">
        <f t="shared" si="13"/>
        <v>D</v>
      </c>
    </row>
    <row r="167" ht="25.5" spans="1:14">
      <c r="A167" s="15">
        <v>171</v>
      </c>
      <c r="B167" s="15" t="s">
        <v>337</v>
      </c>
      <c r="C167" s="15" t="s">
        <v>338</v>
      </c>
      <c r="D167" s="16">
        <v>0</v>
      </c>
      <c r="E167" s="8">
        <v>10</v>
      </c>
      <c r="F167" s="16">
        <v>18</v>
      </c>
      <c r="G167" s="17">
        <f t="shared" si="14"/>
        <v>28</v>
      </c>
      <c r="H167" s="16">
        <v>51</v>
      </c>
      <c r="I167" s="16">
        <v>20</v>
      </c>
      <c r="J167" s="16">
        <v>16</v>
      </c>
      <c r="K167" s="18">
        <f t="shared" si="10"/>
        <v>87</v>
      </c>
      <c r="L167" s="17">
        <f t="shared" si="11"/>
        <v>52.2</v>
      </c>
      <c r="M167" s="19">
        <f t="shared" si="12"/>
        <v>80.2</v>
      </c>
      <c r="N167" s="20" t="str">
        <f t="shared" si="13"/>
        <v>A</v>
      </c>
    </row>
    <row r="168" ht="25.5" spans="1:14">
      <c r="A168" s="15">
        <v>172</v>
      </c>
      <c r="B168" s="15" t="s">
        <v>339</v>
      </c>
      <c r="C168" s="15" t="s">
        <v>340</v>
      </c>
      <c r="D168" s="16">
        <v>0</v>
      </c>
      <c r="E168" s="8">
        <v>5</v>
      </c>
      <c r="F168" s="16">
        <v>16</v>
      </c>
      <c r="G168" s="17">
        <f t="shared" si="14"/>
        <v>21</v>
      </c>
      <c r="H168" s="16">
        <v>44</v>
      </c>
      <c r="I168" s="16">
        <v>17</v>
      </c>
      <c r="J168" s="16">
        <v>20</v>
      </c>
      <c r="K168" s="18">
        <f t="shared" si="10"/>
        <v>81</v>
      </c>
      <c r="L168" s="17">
        <f t="shared" si="11"/>
        <v>48.6</v>
      </c>
      <c r="M168" s="19">
        <f t="shared" si="12"/>
        <v>69.6</v>
      </c>
      <c r="N168" s="20" t="str">
        <f t="shared" si="13"/>
        <v>C+</v>
      </c>
    </row>
    <row r="169" ht="25.5" spans="1:14">
      <c r="A169" s="15">
        <v>173</v>
      </c>
      <c r="B169" s="15" t="s">
        <v>341</v>
      </c>
      <c r="C169" s="15" t="s">
        <v>342</v>
      </c>
      <c r="D169" s="16">
        <v>0</v>
      </c>
      <c r="E169" s="8">
        <v>4</v>
      </c>
      <c r="F169" s="16">
        <v>17</v>
      </c>
      <c r="G169" s="17">
        <f t="shared" si="14"/>
        <v>21</v>
      </c>
      <c r="H169" s="16">
        <v>50</v>
      </c>
      <c r="I169" s="16">
        <v>17</v>
      </c>
      <c r="J169" s="16">
        <v>12</v>
      </c>
      <c r="K169" s="18">
        <f t="shared" si="10"/>
        <v>79</v>
      </c>
      <c r="L169" s="17">
        <f t="shared" si="11"/>
        <v>47.4</v>
      </c>
      <c r="M169" s="19">
        <f t="shared" si="12"/>
        <v>68.4</v>
      </c>
      <c r="N169" s="20" t="str">
        <f t="shared" si="13"/>
        <v>C+</v>
      </c>
    </row>
    <row r="170" ht="25.5" spans="1:14">
      <c r="A170" s="15">
        <v>174</v>
      </c>
      <c r="B170" s="15" t="s">
        <v>343</v>
      </c>
      <c r="C170" s="15" t="s">
        <v>344</v>
      </c>
      <c r="D170" s="16">
        <v>0</v>
      </c>
      <c r="E170" s="8">
        <v>4</v>
      </c>
      <c r="F170" s="16">
        <v>17</v>
      </c>
      <c r="G170" s="17">
        <f t="shared" si="14"/>
        <v>21</v>
      </c>
      <c r="H170" s="16">
        <v>41</v>
      </c>
      <c r="I170" s="16">
        <v>14</v>
      </c>
      <c r="J170" s="16">
        <v>13</v>
      </c>
      <c r="K170" s="18">
        <f t="shared" si="10"/>
        <v>68</v>
      </c>
      <c r="L170" s="17">
        <f t="shared" si="11"/>
        <v>40.8</v>
      </c>
      <c r="M170" s="19">
        <f t="shared" si="12"/>
        <v>61.8</v>
      </c>
      <c r="N170" s="20" t="str">
        <f t="shared" si="13"/>
        <v>C</v>
      </c>
    </row>
    <row r="171" ht="25.5" spans="1:14">
      <c r="A171" s="15">
        <v>176</v>
      </c>
      <c r="B171" s="15" t="s">
        <v>345</v>
      </c>
      <c r="C171" s="15" t="s">
        <v>346</v>
      </c>
      <c r="D171" s="16">
        <v>0</v>
      </c>
      <c r="E171" s="8">
        <v>6</v>
      </c>
      <c r="F171" s="16">
        <v>16</v>
      </c>
      <c r="G171" s="17">
        <f t="shared" si="14"/>
        <v>22</v>
      </c>
      <c r="H171" s="16">
        <v>48</v>
      </c>
      <c r="I171" s="16">
        <v>16</v>
      </c>
      <c r="J171" s="16">
        <v>12</v>
      </c>
      <c r="K171" s="18">
        <f t="shared" si="10"/>
        <v>76</v>
      </c>
      <c r="L171" s="17">
        <f t="shared" si="11"/>
        <v>45.6</v>
      </c>
      <c r="M171" s="19">
        <f t="shared" si="12"/>
        <v>67.6</v>
      </c>
      <c r="N171" s="20" t="str">
        <f t="shared" si="13"/>
        <v>C+</v>
      </c>
    </row>
    <row r="172" ht="25.5" spans="1:14">
      <c r="A172" s="15">
        <v>177</v>
      </c>
      <c r="B172" s="15" t="s">
        <v>347</v>
      </c>
      <c r="C172" s="15" t="s">
        <v>348</v>
      </c>
      <c r="D172" s="16">
        <v>0</v>
      </c>
      <c r="E172" s="8">
        <v>9</v>
      </c>
      <c r="F172" s="16">
        <v>17</v>
      </c>
      <c r="G172" s="17">
        <f t="shared" si="14"/>
        <v>26</v>
      </c>
      <c r="H172" s="16">
        <v>45</v>
      </c>
      <c r="I172" s="16">
        <v>17</v>
      </c>
      <c r="J172" s="16">
        <v>15</v>
      </c>
      <c r="K172" s="18">
        <f t="shared" si="10"/>
        <v>77</v>
      </c>
      <c r="L172" s="17">
        <f t="shared" si="11"/>
        <v>46.2</v>
      </c>
      <c r="M172" s="19">
        <f t="shared" si="12"/>
        <v>72.2</v>
      </c>
      <c r="N172" s="20" t="str">
        <f t="shared" si="13"/>
        <v>B</v>
      </c>
    </row>
    <row r="173" ht="25.5" spans="1:14">
      <c r="A173" s="15">
        <v>178</v>
      </c>
      <c r="B173" s="15" t="s">
        <v>349</v>
      </c>
      <c r="C173" s="15" t="s">
        <v>350</v>
      </c>
      <c r="D173" s="16">
        <v>0</v>
      </c>
      <c r="E173" s="8">
        <v>10</v>
      </c>
      <c r="F173" s="16">
        <v>16</v>
      </c>
      <c r="G173" s="17">
        <f t="shared" si="14"/>
        <v>26</v>
      </c>
      <c r="H173" s="16">
        <v>49</v>
      </c>
      <c r="I173" s="16">
        <v>18</v>
      </c>
      <c r="J173" s="16">
        <v>20</v>
      </c>
      <c r="K173" s="18">
        <f t="shared" si="10"/>
        <v>87</v>
      </c>
      <c r="L173" s="17">
        <f t="shared" si="11"/>
        <v>52.2</v>
      </c>
      <c r="M173" s="19">
        <f t="shared" si="12"/>
        <v>78.2</v>
      </c>
      <c r="N173" s="20" t="str">
        <f t="shared" si="13"/>
        <v>B+</v>
      </c>
    </row>
    <row r="174" ht="25.5" spans="1:14">
      <c r="A174" s="15">
        <v>179</v>
      </c>
      <c r="B174" s="15" t="s">
        <v>351</v>
      </c>
      <c r="C174" s="15" t="s">
        <v>352</v>
      </c>
      <c r="D174" s="16">
        <v>0</v>
      </c>
      <c r="E174" s="8">
        <v>4</v>
      </c>
      <c r="F174" s="16">
        <v>17</v>
      </c>
      <c r="G174" s="17">
        <f t="shared" si="14"/>
        <v>21</v>
      </c>
      <c r="H174" s="16">
        <v>47</v>
      </c>
      <c r="I174" s="16">
        <v>17</v>
      </c>
      <c r="J174" s="16">
        <v>15</v>
      </c>
      <c r="K174" s="18">
        <f t="shared" si="10"/>
        <v>79</v>
      </c>
      <c r="L174" s="17">
        <f t="shared" si="11"/>
        <v>47.4</v>
      </c>
      <c r="M174" s="19">
        <f t="shared" si="12"/>
        <v>68.4</v>
      </c>
      <c r="N174" s="20" t="str">
        <f t="shared" si="13"/>
        <v>C+</v>
      </c>
    </row>
    <row r="175" ht="25.5" spans="1:14">
      <c r="A175" s="15">
        <v>180</v>
      </c>
      <c r="B175" s="15" t="s">
        <v>353</v>
      </c>
      <c r="C175" s="15" t="s">
        <v>354</v>
      </c>
      <c r="D175" s="16">
        <v>0</v>
      </c>
      <c r="E175" s="8">
        <v>10</v>
      </c>
      <c r="F175" s="16">
        <v>20</v>
      </c>
      <c r="G175" s="17">
        <f t="shared" si="14"/>
        <v>30</v>
      </c>
      <c r="H175" s="16">
        <v>48</v>
      </c>
      <c r="I175" s="16">
        <v>18</v>
      </c>
      <c r="J175" s="16">
        <v>15</v>
      </c>
      <c r="K175" s="18">
        <f t="shared" si="10"/>
        <v>81</v>
      </c>
      <c r="L175" s="17">
        <f t="shared" si="11"/>
        <v>48.6</v>
      </c>
      <c r="M175" s="19">
        <f t="shared" si="12"/>
        <v>78.6</v>
      </c>
      <c r="N175" s="20" t="str">
        <f t="shared" si="13"/>
        <v>B+</v>
      </c>
    </row>
    <row r="176" ht="25.5" spans="1:14">
      <c r="A176" s="15">
        <v>182</v>
      </c>
      <c r="B176" s="15" t="s">
        <v>355</v>
      </c>
      <c r="C176" s="15" t="s">
        <v>356</v>
      </c>
      <c r="D176" s="16">
        <v>0</v>
      </c>
      <c r="E176" s="8">
        <v>9.5</v>
      </c>
      <c r="F176" s="16">
        <v>17</v>
      </c>
      <c r="G176" s="17">
        <f t="shared" si="14"/>
        <v>26.5</v>
      </c>
      <c r="H176" s="16">
        <v>50</v>
      </c>
      <c r="I176" s="16">
        <v>20</v>
      </c>
      <c r="J176" s="16">
        <v>16</v>
      </c>
      <c r="K176" s="18">
        <f t="shared" si="10"/>
        <v>86</v>
      </c>
      <c r="L176" s="17">
        <f t="shared" si="11"/>
        <v>51.6</v>
      </c>
      <c r="M176" s="19">
        <f t="shared" si="12"/>
        <v>78.1</v>
      </c>
      <c r="N176" s="20" t="str">
        <f t="shared" si="13"/>
        <v>B+</v>
      </c>
    </row>
    <row r="177" ht="25.5" spans="1:14">
      <c r="A177" s="15">
        <v>183</v>
      </c>
      <c r="B177" s="15" t="s">
        <v>357</v>
      </c>
      <c r="C177" s="15" t="s">
        <v>358</v>
      </c>
      <c r="D177" s="16">
        <v>0</v>
      </c>
      <c r="E177" s="8">
        <v>6</v>
      </c>
      <c r="F177" s="16">
        <v>16</v>
      </c>
      <c r="G177" s="17">
        <f t="shared" si="14"/>
        <v>22</v>
      </c>
      <c r="H177" s="16">
        <v>38</v>
      </c>
      <c r="I177" s="16">
        <v>12</v>
      </c>
      <c r="J177" s="16">
        <v>16</v>
      </c>
      <c r="K177" s="18">
        <f t="shared" si="10"/>
        <v>66</v>
      </c>
      <c r="L177" s="17">
        <f t="shared" si="11"/>
        <v>39.6</v>
      </c>
      <c r="M177" s="19">
        <f t="shared" si="12"/>
        <v>61.6</v>
      </c>
      <c r="N177" s="20" t="str">
        <f t="shared" si="13"/>
        <v>C</v>
      </c>
    </row>
    <row r="178" ht="25.5" spans="1:14">
      <c r="A178" s="15">
        <v>184</v>
      </c>
      <c r="B178" s="15" t="s">
        <v>359</v>
      </c>
      <c r="C178" s="15" t="s">
        <v>360</v>
      </c>
      <c r="D178" s="16">
        <v>0</v>
      </c>
      <c r="E178" s="8">
        <v>9</v>
      </c>
      <c r="F178" s="16">
        <v>15</v>
      </c>
      <c r="G178" s="17">
        <f t="shared" si="14"/>
        <v>24</v>
      </c>
      <c r="H178" s="16">
        <v>43</v>
      </c>
      <c r="I178" s="16">
        <v>20</v>
      </c>
      <c r="J178" s="16">
        <v>15</v>
      </c>
      <c r="K178" s="18">
        <f t="shared" si="10"/>
        <v>78</v>
      </c>
      <c r="L178" s="17">
        <f t="shared" si="11"/>
        <v>46.8</v>
      </c>
      <c r="M178" s="19">
        <f t="shared" si="12"/>
        <v>70.8</v>
      </c>
      <c r="N178" s="20" t="str">
        <f t="shared" si="13"/>
        <v>B</v>
      </c>
    </row>
    <row r="179" ht="25.5" spans="1:14">
      <c r="A179" s="15">
        <v>185</v>
      </c>
      <c r="B179" s="15" t="s">
        <v>361</v>
      </c>
      <c r="C179" s="15" t="s">
        <v>362</v>
      </c>
      <c r="D179" s="16">
        <v>0</v>
      </c>
      <c r="E179" s="8">
        <v>9.5</v>
      </c>
      <c r="F179" s="16">
        <v>15</v>
      </c>
      <c r="G179" s="17">
        <f t="shared" si="14"/>
        <v>24.5</v>
      </c>
      <c r="H179" s="16">
        <v>47</v>
      </c>
      <c r="I179" s="16">
        <v>17</v>
      </c>
      <c r="J179" s="16">
        <v>20</v>
      </c>
      <c r="K179" s="18">
        <f t="shared" si="10"/>
        <v>84</v>
      </c>
      <c r="L179" s="17">
        <f t="shared" si="11"/>
        <v>50.4</v>
      </c>
      <c r="M179" s="19">
        <f t="shared" si="12"/>
        <v>74.9</v>
      </c>
      <c r="N179" s="20" t="str">
        <f t="shared" si="13"/>
        <v>B</v>
      </c>
    </row>
    <row r="180" ht="25.5" spans="1:14">
      <c r="A180" s="15">
        <v>186</v>
      </c>
      <c r="B180" s="15" t="s">
        <v>363</v>
      </c>
      <c r="C180" s="15" t="s">
        <v>364</v>
      </c>
      <c r="D180" s="16">
        <v>0</v>
      </c>
      <c r="E180" s="8">
        <v>4.5</v>
      </c>
      <c r="F180" s="16">
        <v>18</v>
      </c>
      <c r="G180" s="17">
        <f t="shared" si="14"/>
        <v>22.5</v>
      </c>
      <c r="H180" s="16">
        <v>32</v>
      </c>
      <c r="I180" s="16">
        <v>15</v>
      </c>
      <c r="J180" s="16">
        <v>8</v>
      </c>
      <c r="K180" s="18">
        <f t="shared" si="10"/>
        <v>55</v>
      </c>
      <c r="L180" s="17">
        <f t="shared" si="11"/>
        <v>33</v>
      </c>
      <c r="M180" s="19">
        <f t="shared" si="12"/>
        <v>55.5</v>
      </c>
      <c r="N180" s="20" t="str">
        <f t="shared" si="13"/>
        <v>D+</v>
      </c>
    </row>
    <row r="181" ht="25.5" spans="1:14">
      <c r="A181" s="15">
        <v>187</v>
      </c>
      <c r="B181" s="15" t="s">
        <v>365</v>
      </c>
      <c r="C181" s="15" t="s">
        <v>366</v>
      </c>
      <c r="D181" s="16">
        <v>0</v>
      </c>
      <c r="E181" s="8">
        <v>10</v>
      </c>
      <c r="F181" s="16">
        <v>20</v>
      </c>
      <c r="G181" s="17">
        <f t="shared" si="14"/>
        <v>30</v>
      </c>
      <c r="H181" s="16">
        <v>51</v>
      </c>
      <c r="I181" s="16">
        <v>19</v>
      </c>
      <c r="J181" s="16">
        <v>17</v>
      </c>
      <c r="K181" s="18">
        <f t="shared" si="10"/>
        <v>87</v>
      </c>
      <c r="L181" s="17">
        <f t="shared" si="11"/>
        <v>52.2</v>
      </c>
      <c r="M181" s="19">
        <f t="shared" si="12"/>
        <v>82.2</v>
      </c>
      <c r="N181" s="20" t="str">
        <f t="shared" si="13"/>
        <v>A</v>
      </c>
    </row>
    <row r="182" ht="25.5" spans="1:14">
      <c r="A182" s="15">
        <v>188</v>
      </c>
      <c r="B182" s="15" t="s">
        <v>367</v>
      </c>
      <c r="C182" s="15" t="s">
        <v>368</v>
      </c>
      <c r="D182" s="16">
        <v>0</v>
      </c>
      <c r="E182" s="8">
        <v>10</v>
      </c>
      <c r="F182" s="16">
        <v>17</v>
      </c>
      <c r="G182" s="17">
        <f t="shared" si="14"/>
        <v>27</v>
      </c>
      <c r="H182" s="16">
        <v>48</v>
      </c>
      <c r="I182" s="16">
        <v>20</v>
      </c>
      <c r="J182" s="16">
        <v>18</v>
      </c>
      <c r="K182" s="18">
        <f t="shared" si="10"/>
        <v>86</v>
      </c>
      <c r="L182" s="17">
        <f t="shared" si="11"/>
        <v>51.6</v>
      </c>
      <c r="M182" s="19">
        <f t="shared" si="12"/>
        <v>78.6</v>
      </c>
      <c r="N182" s="20" t="str">
        <f t="shared" si="13"/>
        <v>B+</v>
      </c>
    </row>
    <row r="183" ht="25.5" spans="1:14">
      <c r="A183" s="15">
        <v>189</v>
      </c>
      <c r="B183" s="15" t="s">
        <v>369</v>
      </c>
      <c r="C183" s="15" t="s">
        <v>370</v>
      </c>
      <c r="D183" s="16">
        <v>0</v>
      </c>
      <c r="E183" s="8">
        <v>5.5</v>
      </c>
      <c r="F183" s="16">
        <v>16</v>
      </c>
      <c r="G183" s="17">
        <f t="shared" si="14"/>
        <v>21.5</v>
      </c>
      <c r="H183" s="16">
        <v>43</v>
      </c>
      <c r="I183" s="16">
        <v>14</v>
      </c>
      <c r="J183" s="16">
        <v>13</v>
      </c>
      <c r="K183" s="18">
        <f t="shared" si="10"/>
        <v>70</v>
      </c>
      <c r="L183" s="17">
        <f t="shared" si="11"/>
        <v>42</v>
      </c>
      <c r="M183" s="19">
        <f t="shared" si="12"/>
        <v>63.5</v>
      </c>
      <c r="N183" s="20" t="str">
        <f t="shared" si="13"/>
        <v>C</v>
      </c>
    </row>
    <row r="184" ht="25.5" spans="1:14">
      <c r="A184" s="15">
        <v>190</v>
      </c>
      <c r="B184" s="15" t="s">
        <v>371</v>
      </c>
      <c r="C184" s="15" t="s">
        <v>372</v>
      </c>
      <c r="D184" s="16">
        <v>0</v>
      </c>
      <c r="E184" s="8">
        <v>0</v>
      </c>
      <c r="F184" s="16">
        <v>16</v>
      </c>
      <c r="G184" s="17">
        <f t="shared" si="14"/>
        <v>16</v>
      </c>
      <c r="H184" s="16">
        <v>48</v>
      </c>
      <c r="I184" s="16">
        <v>15</v>
      </c>
      <c r="J184" s="16">
        <v>17</v>
      </c>
      <c r="K184" s="18">
        <f t="shared" si="10"/>
        <v>80</v>
      </c>
      <c r="L184" s="17">
        <f t="shared" si="11"/>
        <v>48</v>
      </c>
      <c r="M184" s="19">
        <f t="shared" si="12"/>
        <v>64</v>
      </c>
      <c r="N184" s="20" t="str">
        <f t="shared" si="13"/>
        <v>C</v>
      </c>
    </row>
    <row r="185" ht="25.5" spans="1:14">
      <c r="A185" s="15">
        <v>191</v>
      </c>
      <c r="B185" s="15" t="s">
        <v>373</v>
      </c>
      <c r="C185" s="15" t="s">
        <v>374</v>
      </c>
      <c r="D185" s="16">
        <v>0</v>
      </c>
      <c r="E185" s="8">
        <v>10</v>
      </c>
      <c r="F185" s="16">
        <v>18</v>
      </c>
      <c r="G185" s="17">
        <f t="shared" si="14"/>
        <v>28</v>
      </c>
      <c r="H185" s="16">
        <v>46</v>
      </c>
      <c r="I185" s="16">
        <v>20</v>
      </c>
      <c r="J185" s="16">
        <v>16</v>
      </c>
      <c r="K185" s="18">
        <f t="shared" ref="K185:K207" si="15">SUM(H185,I185,J185)</f>
        <v>82</v>
      </c>
      <c r="L185" s="17">
        <f t="shared" ref="L185:L207" si="16">SUM(K185/100*60)</f>
        <v>49.2</v>
      </c>
      <c r="M185" s="19">
        <f t="shared" ref="M185:M207" si="17">SUM(L185,G185)</f>
        <v>77.2</v>
      </c>
      <c r="N185" s="20" t="str">
        <f t="shared" ref="N185:N207" si="18">IF(M185&lt;=49.9,"F",IF(M185&lt;=54.9,"D",IF(M185&lt;=59.9,"D+",IF(M185&lt;=64.9,"C",IF(M185&lt;=69.9,"C+",IF(M185&lt;=74.9,"B",IF(M185&lt;=79.9,"B+",IF(M185&gt;=80,"A"))))))))</f>
        <v>B+</v>
      </c>
    </row>
    <row r="186" ht="25.5" spans="1:14">
      <c r="A186" s="15">
        <v>192</v>
      </c>
      <c r="B186" s="15" t="s">
        <v>375</v>
      </c>
      <c r="C186" s="15" t="s">
        <v>376</v>
      </c>
      <c r="D186" s="16">
        <v>0</v>
      </c>
      <c r="E186" s="8">
        <v>10</v>
      </c>
      <c r="F186" s="16">
        <v>19</v>
      </c>
      <c r="G186" s="17">
        <f t="shared" si="14"/>
        <v>29</v>
      </c>
      <c r="H186" s="16">
        <v>48</v>
      </c>
      <c r="I186" s="16">
        <v>15</v>
      </c>
      <c r="J186" s="16">
        <v>17</v>
      </c>
      <c r="K186" s="18">
        <f t="shared" si="15"/>
        <v>80</v>
      </c>
      <c r="L186" s="17">
        <f t="shared" si="16"/>
        <v>48</v>
      </c>
      <c r="M186" s="19">
        <f t="shared" si="17"/>
        <v>77</v>
      </c>
      <c r="N186" s="20" t="str">
        <f t="shared" si="18"/>
        <v>B+</v>
      </c>
    </row>
    <row r="187" ht="25.5" spans="1:14">
      <c r="A187" s="15">
        <v>193</v>
      </c>
      <c r="B187" s="15" t="s">
        <v>377</v>
      </c>
      <c r="C187" s="15" t="s">
        <v>378</v>
      </c>
      <c r="D187" s="16">
        <v>0</v>
      </c>
      <c r="E187" s="8">
        <v>7</v>
      </c>
      <c r="F187" s="16">
        <v>17</v>
      </c>
      <c r="G187" s="17">
        <f t="shared" ref="G187:G207" si="19">SUM(F187,E187,D187)</f>
        <v>24</v>
      </c>
      <c r="H187" s="16">
        <v>47</v>
      </c>
      <c r="I187" s="16">
        <v>17</v>
      </c>
      <c r="J187" s="16">
        <v>12</v>
      </c>
      <c r="K187" s="18">
        <f t="shared" si="15"/>
        <v>76</v>
      </c>
      <c r="L187" s="17">
        <f t="shared" si="16"/>
        <v>45.6</v>
      </c>
      <c r="M187" s="19">
        <f t="shared" si="17"/>
        <v>69.6</v>
      </c>
      <c r="N187" s="20" t="str">
        <f t="shared" si="18"/>
        <v>C+</v>
      </c>
    </row>
    <row r="188" ht="25.5" spans="1:14">
      <c r="A188" s="15">
        <v>194</v>
      </c>
      <c r="B188" s="15" t="s">
        <v>379</v>
      </c>
      <c r="C188" s="15" t="s">
        <v>380</v>
      </c>
      <c r="D188" s="16">
        <v>0</v>
      </c>
      <c r="E188" s="8">
        <v>2</v>
      </c>
      <c r="F188" s="16">
        <v>15</v>
      </c>
      <c r="G188" s="17">
        <f t="shared" si="19"/>
        <v>17</v>
      </c>
      <c r="H188" s="16">
        <v>38</v>
      </c>
      <c r="I188" s="16">
        <v>6</v>
      </c>
      <c r="J188" s="16">
        <v>10</v>
      </c>
      <c r="K188" s="18">
        <f t="shared" si="15"/>
        <v>54</v>
      </c>
      <c r="L188" s="17">
        <f t="shared" si="16"/>
        <v>32.4</v>
      </c>
      <c r="M188" s="19">
        <f t="shared" si="17"/>
        <v>49.4</v>
      </c>
      <c r="N188" s="20" t="str">
        <f t="shared" si="18"/>
        <v>F</v>
      </c>
    </row>
    <row r="189" ht="25.5" spans="1:14">
      <c r="A189" s="15">
        <v>195</v>
      </c>
      <c r="B189" s="15" t="s">
        <v>381</v>
      </c>
      <c r="C189" s="15" t="s">
        <v>382</v>
      </c>
      <c r="D189" s="16">
        <v>0</v>
      </c>
      <c r="E189" s="8">
        <v>10</v>
      </c>
      <c r="F189" s="16">
        <v>18</v>
      </c>
      <c r="G189" s="17">
        <f t="shared" si="19"/>
        <v>28</v>
      </c>
      <c r="H189" s="16">
        <v>46</v>
      </c>
      <c r="I189" s="16">
        <v>19</v>
      </c>
      <c r="J189" s="16">
        <v>19</v>
      </c>
      <c r="K189" s="18">
        <f t="shared" si="15"/>
        <v>84</v>
      </c>
      <c r="L189" s="17">
        <f t="shared" si="16"/>
        <v>50.4</v>
      </c>
      <c r="M189" s="19">
        <f t="shared" si="17"/>
        <v>78.4</v>
      </c>
      <c r="N189" s="20" t="str">
        <f t="shared" si="18"/>
        <v>B+</v>
      </c>
    </row>
    <row r="190" ht="25.5" spans="1:14">
      <c r="A190" s="15">
        <v>196</v>
      </c>
      <c r="B190" s="15" t="s">
        <v>383</v>
      </c>
      <c r="C190" s="15" t="s">
        <v>384</v>
      </c>
      <c r="D190" s="16">
        <v>0</v>
      </c>
      <c r="E190" s="8">
        <v>0</v>
      </c>
      <c r="F190" s="16">
        <v>20</v>
      </c>
      <c r="G190" s="17">
        <f t="shared" si="19"/>
        <v>20</v>
      </c>
      <c r="H190" s="16">
        <v>39</v>
      </c>
      <c r="I190" s="16">
        <v>9</v>
      </c>
      <c r="J190" s="16">
        <v>12</v>
      </c>
      <c r="K190" s="18">
        <f t="shared" si="15"/>
        <v>60</v>
      </c>
      <c r="L190" s="17">
        <f t="shared" si="16"/>
        <v>36</v>
      </c>
      <c r="M190" s="19">
        <f t="shared" si="17"/>
        <v>56</v>
      </c>
      <c r="N190" s="20" t="str">
        <f t="shared" si="18"/>
        <v>D+</v>
      </c>
    </row>
    <row r="191" ht="25.5" spans="1:14">
      <c r="A191" s="15">
        <v>197</v>
      </c>
      <c r="B191" s="15" t="s">
        <v>385</v>
      </c>
      <c r="C191" s="15" t="s">
        <v>386</v>
      </c>
      <c r="D191" s="16">
        <v>0</v>
      </c>
      <c r="E191" s="8">
        <v>5</v>
      </c>
      <c r="F191" s="16">
        <v>15</v>
      </c>
      <c r="G191" s="17">
        <f t="shared" si="19"/>
        <v>20</v>
      </c>
      <c r="H191" s="16">
        <v>48</v>
      </c>
      <c r="I191" s="16">
        <v>20</v>
      </c>
      <c r="J191" s="16">
        <v>18</v>
      </c>
      <c r="K191" s="18">
        <f t="shared" si="15"/>
        <v>86</v>
      </c>
      <c r="L191" s="17">
        <f t="shared" si="16"/>
        <v>51.6</v>
      </c>
      <c r="M191" s="19">
        <f t="shared" si="17"/>
        <v>71.6</v>
      </c>
      <c r="N191" s="20" t="str">
        <f t="shared" si="18"/>
        <v>B</v>
      </c>
    </row>
    <row r="192" ht="25.5" spans="1:14">
      <c r="A192" s="15">
        <v>198</v>
      </c>
      <c r="B192" s="15" t="s">
        <v>387</v>
      </c>
      <c r="C192" s="15" t="s">
        <v>388</v>
      </c>
      <c r="D192" s="16">
        <v>0</v>
      </c>
      <c r="E192" s="8">
        <v>6</v>
      </c>
      <c r="F192" s="16">
        <v>17</v>
      </c>
      <c r="G192" s="17">
        <f t="shared" si="19"/>
        <v>23</v>
      </c>
      <c r="H192" s="16">
        <v>46</v>
      </c>
      <c r="I192" s="16">
        <v>18</v>
      </c>
      <c r="J192" s="16">
        <v>20</v>
      </c>
      <c r="K192" s="18">
        <f t="shared" si="15"/>
        <v>84</v>
      </c>
      <c r="L192" s="17">
        <f t="shared" si="16"/>
        <v>50.4</v>
      </c>
      <c r="M192" s="19">
        <f t="shared" si="17"/>
        <v>73.4</v>
      </c>
      <c r="N192" s="20" t="str">
        <f t="shared" si="18"/>
        <v>B</v>
      </c>
    </row>
    <row r="193" ht="25.5" spans="1:14">
      <c r="A193" s="15">
        <v>199</v>
      </c>
      <c r="B193" s="15" t="s">
        <v>389</v>
      </c>
      <c r="C193" s="15" t="s">
        <v>390</v>
      </c>
      <c r="D193" s="16">
        <v>0</v>
      </c>
      <c r="E193" s="8">
        <v>10</v>
      </c>
      <c r="F193" s="16">
        <v>20</v>
      </c>
      <c r="G193" s="17">
        <f t="shared" si="19"/>
        <v>30</v>
      </c>
      <c r="H193" s="16">
        <v>50</v>
      </c>
      <c r="I193" s="16">
        <v>20</v>
      </c>
      <c r="J193" s="16">
        <v>20</v>
      </c>
      <c r="K193" s="18">
        <f t="shared" si="15"/>
        <v>90</v>
      </c>
      <c r="L193" s="17">
        <f t="shared" si="16"/>
        <v>54</v>
      </c>
      <c r="M193" s="19">
        <f t="shared" si="17"/>
        <v>84</v>
      </c>
      <c r="N193" s="20" t="str">
        <f t="shared" si="18"/>
        <v>A</v>
      </c>
    </row>
    <row r="194" ht="25.5" spans="1:14">
      <c r="A194" s="15">
        <v>200</v>
      </c>
      <c r="B194" s="15" t="s">
        <v>391</v>
      </c>
      <c r="C194" s="15" t="s">
        <v>392</v>
      </c>
      <c r="D194" s="16">
        <v>0</v>
      </c>
      <c r="E194" s="8">
        <v>6</v>
      </c>
      <c r="F194" s="16">
        <v>18</v>
      </c>
      <c r="G194" s="17">
        <f t="shared" si="19"/>
        <v>24</v>
      </c>
      <c r="H194" s="16">
        <v>48</v>
      </c>
      <c r="I194" s="16">
        <v>20</v>
      </c>
      <c r="J194" s="16">
        <v>9</v>
      </c>
      <c r="K194" s="18">
        <f t="shared" si="15"/>
        <v>77</v>
      </c>
      <c r="L194" s="17">
        <f t="shared" si="16"/>
        <v>46.2</v>
      </c>
      <c r="M194" s="19">
        <f t="shared" si="17"/>
        <v>70.2</v>
      </c>
      <c r="N194" s="20" t="str">
        <f t="shared" si="18"/>
        <v>B</v>
      </c>
    </row>
    <row r="195" ht="25.5" spans="1:14">
      <c r="A195" s="15">
        <v>201</v>
      </c>
      <c r="B195" s="15" t="s">
        <v>393</v>
      </c>
      <c r="C195" s="15" t="s">
        <v>394</v>
      </c>
      <c r="D195" s="16">
        <v>0</v>
      </c>
      <c r="E195" s="8">
        <v>7</v>
      </c>
      <c r="F195" s="16">
        <v>19</v>
      </c>
      <c r="G195" s="17">
        <f t="shared" si="19"/>
        <v>26</v>
      </c>
      <c r="H195" s="16">
        <v>55</v>
      </c>
      <c r="I195" s="16">
        <v>20</v>
      </c>
      <c r="J195" s="16">
        <v>20</v>
      </c>
      <c r="K195" s="18">
        <f t="shared" si="15"/>
        <v>95</v>
      </c>
      <c r="L195" s="17">
        <f t="shared" si="16"/>
        <v>57</v>
      </c>
      <c r="M195" s="19">
        <f t="shared" si="17"/>
        <v>83</v>
      </c>
      <c r="N195" s="20" t="str">
        <f t="shared" si="18"/>
        <v>A</v>
      </c>
    </row>
    <row r="196" ht="25.5" spans="1:14">
      <c r="A196" s="15">
        <v>204</v>
      </c>
      <c r="B196" s="15" t="s">
        <v>395</v>
      </c>
      <c r="C196" s="15" t="s">
        <v>396</v>
      </c>
      <c r="D196" s="16">
        <v>0</v>
      </c>
      <c r="E196" s="8">
        <v>10</v>
      </c>
      <c r="F196" s="16">
        <v>20</v>
      </c>
      <c r="G196" s="17">
        <f t="shared" si="19"/>
        <v>30</v>
      </c>
      <c r="H196" s="16">
        <v>47</v>
      </c>
      <c r="I196" s="16">
        <v>20</v>
      </c>
      <c r="J196" s="16">
        <v>2</v>
      </c>
      <c r="K196" s="18">
        <f t="shared" si="15"/>
        <v>69</v>
      </c>
      <c r="L196" s="17">
        <f t="shared" si="16"/>
        <v>41.4</v>
      </c>
      <c r="M196" s="19">
        <f t="shared" si="17"/>
        <v>71.4</v>
      </c>
      <c r="N196" s="20" t="str">
        <f t="shared" si="18"/>
        <v>B</v>
      </c>
    </row>
    <row r="197" ht="25.5" spans="1:14">
      <c r="A197" s="15">
        <v>205</v>
      </c>
      <c r="B197" s="15" t="s">
        <v>397</v>
      </c>
      <c r="C197" s="15" t="s">
        <v>398</v>
      </c>
      <c r="D197" s="16">
        <v>0</v>
      </c>
      <c r="E197" s="8">
        <v>9</v>
      </c>
      <c r="F197" s="16">
        <v>20</v>
      </c>
      <c r="G197" s="17">
        <f t="shared" si="19"/>
        <v>29</v>
      </c>
      <c r="H197" s="16">
        <v>42</v>
      </c>
      <c r="I197" s="16">
        <v>10</v>
      </c>
      <c r="J197" s="16">
        <v>8</v>
      </c>
      <c r="K197" s="18">
        <f t="shared" si="15"/>
        <v>60</v>
      </c>
      <c r="L197" s="17">
        <f t="shared" si="16"/>
        <v>36</v>
      </c>
      <c r="M197" s="19">
        <f t="shared" si="17"/>
        <v>65</v>
      </c>
      <c r="N197" s="20" t="str">
        <f t="shared" si="18"/>
        <v>C+</v>
      </c>
    </row>
    <row r="198" ht="25.5" spans="1:14">
      <c r="A198" s="15">
        <v>206</v>
      </c>
      <c r="B198" s="15" t="s">
        <v>399</v>
      </c>
      <c r="C198" s="15" t="s">
        <v>400</v>
      </c>
      <c r="D198" s="16">
        <v>0</v>
      </c>
      <c r="E198" s="8">
        <v>3</v>
      </c>
      <c r="F198" s="16">
        <v>13</v>
      </c>
      <c r="G198" s="17">
        <f t="shared" si="19"/>
        <v>16</v>
      </c>
      <c r="H198" s="16">
        <v>46</v>
      </c>
      <c r="I198" s="16">
        <v>14</v>
      </c>
      <c r="J198" s="16">
        <v>8</v>
      </c>
      <c r="K198" s="18">
        <f t="shared" si="15"/>
        <v>68</v>
      </c>
      <c r="L198" s="17">
        <f t="shared" si="16"/>
        <v>40.8</v>
      </c>
      <c r="M198" s="19">
        <f t="shared" si="17"/>
        <v>56.8</v>
      </c>
      <c r="N198" s="20" t="str">
        <f t="shared" si="18"/>
        <v>D+</v>
      </c>
    </row>
    <row r="199" ht="25.5" spans="1:14">
      <c r="A199" s="15">
        <v>208</v>
      </c>
      <c r="B199" s="15" t="s">
        <v>401</v>
      </c>
      <c r="C199" s="15" t="s">
        <v>402</v>
      </c>
      <c r="D199" s="16">
        <v>0</v>
      </c>
      <c r="E199" s="8">
        <v>9.5</v>
      </c>
      <c r="F199" s="16">
        <v>18</v>
      </c>
      <c r="G199" s="17">
        <f t="shared" si="19"/>
        <v>27.5</v>
      </c>
      <c r="H199" s="16">
        <v>42</v>
      </c>
      <c r="I199" s="16">
        <v>20</v>
      </c>
      <c r="J199" s="16">
        <v>16</v>
      </c>
      <c r="K199" s="18">
        <f t="shared" si="15"/>
        <v>78</v>
      </c>
      <c r="L199" s="17">
        <f t="shared" si="16"/>
        <v>46.8</v>
      </c>
      <c r="M199" s="19">
        <f t="shared" si="17"/>
        <v>74.3</v>
      </c>
      <c r="N199" s="20" t="str">
        <f t="shared" si="18"/>
        <v>B</v>
      </c>
    </row>
    <row r="200" ht="25.5" spans="1:14">
      <c r="A200" s="15">
        <v>209</v>
      </c>
      <c r="B200" s="15" t="s">
        <v>403</v>
      </c>
      <c r="C200" s="15" t="s">
        <v>404</v>
      </c>
      <c r="D200" s="16">
        <v>0</v>
      </c>
      <c r="E200" s="8">
        <v>10</v>
      </c>
      <c r="F200" s="16">
        <v>20</v>
      </c>
      <c r="G200" s="17">
        <f t="shared" si="19"/>
        <v>30</v>
      </c>
      <c r="H200" s="16">
        <v>52</v>
      </c>
      <c r="I200" s="16">
        <v>20</v>
      </c>
      <c r="J200" s="16">
        <v>20</v>
      </c>
      <c r="K200" s="18">
        <f t="shared" si="15"/>
        <v>92</v>
      </c>
      <c r="L200" s="17">
        <f t="shared" si="16"/>
        <v>55.2</v>
      </c>
      <c r="M200" s="19">
        <f t="shared" si="17"/>
        <v>85.2</v>
      </c>
      <c r="N200" s="20" t="str">
        <f t="shared" si="18"/>
        <v>A</v>
      </c>
    </row>
    <row r="201" ht="25.5" spans="1:14">
      <c r="A201" s="15">
        <v>210</v>
      </c>
      <c r="B201" s="15" t="s">
        <v>405</v>
      </c>
      <c r="C201" s="15" t="s">
        <v>406</v>
      </c>
      <c r="D201" s="16">
        <v>0</v>
      </c>
      <c r="E201" s="8">
        <v>9.5</v>
      </c>
      <c r="F201" s="16">
        <v>17</v>
      </c>
      <c r="G201" s="17">
        <f t="shared" si="19"/>
        <v>26.5</v>
      </c>
      <c r="H201" s="16">
        <v>49</v>
      </c>
      <c r="I201" s="16">
        <v>19</v>
      </c>
      <c r="J201" s="16">
        <v>17</v>
      </c>
      <c r="K201" s="18">
        <f t="shared" si="15"/>
        <v>85</v>
      </c>
      <c r="L201" s="17">
        <f t="shared" si="16"/>
        <v>51</v>
      </c>
      <c r="M201" s="19">
        <f t="shared" si="17"/>
        <v>77.5</v>
      </c>
      <c r="N201" s="20" t="str">
        <f t="shared" si="18"/>
        <v>B+</v>
      </c>
    </row>
    <row r="202" ht="25.5" spans="1:14">
      <c r="A202" s="15">
        <v>211</v>
      </c>
      <c r="B202" s="15" t="s">
        <v>407</v>
      </c>
      <c r="C202" s="15" t="s">
        <v>408</v>
      </c>
      <c r="D202" s="16">
        <v>0</v>
      </c>
      <c r="E202" s="8">
        <v>7</v>
      </c>
      <c r="F202" s="16">
        <v>18</v>
      </c>
      <c r="G202" s="17">
        <f t="shared" si="19"/>
        <v>25</v>
      </c>
      <c r="H202" s="16">
        <v>44</v>
      </c>
      <c r="I202" s="16">
        <v>18</v>
      </c>
      <c r="J202" s="16">
        <v>18</v>
      </c>
      <c r="K202" s="18">
        <f t="shared" si="15"/>
        <v>80</v>
      </c>
      <c r="L202" s="17">
        <f t="shared" si="16"/>
        <v>48</v>
      </c>
      <c r="M202" s="19">
        <f t="shared" si="17"/>
        <v>73</v>
      </c>
      <c r="N202" s="20" t="str">
        <f t="shared" si="18"/>
        <v>B</v>
      </c>
    </row>
    <row r="203" ht="25.5" spans="1:14">
      <c r="A203" s="15">
        <v>213</v>
      </c>
      <c r="B203" s="15" t="s">
        <v>409</v>
      </c>
      <c r="C203" s="15" t="s">
        <v>410</v>
      </c>
      <c r="D203" s="16">
        <v>0</v>
      </c>
      <c r="E203" s="8">
        <v>5</v>
      </c>
      <c r="F203" s="16">
        <v>13</v>
      </c>
      <c r="G203" s="17">
        <f t="shared" si="19"/>
        <v>18</v>
      </c>
      <c r="H203" s="16">
        <v>50</v>
      </c>
      <c r="I203" s="16">
        <v>15</v>
      </c>
      <c r="J203" s="16">
        <v>14</v>
      </c>
      <c r="K203" s="18">
        <f t="shared" si="15"/>
        <v>79</v>
      </c>
      <c r="L203" s="17">
        <f t="shared" si="16"/>
        <v>47.4</v>
      </c>
      <c r="M203" s="19">
        <f t="shared" si="17"/>
        <v>65.4</v>
      </c>
      <c r="N203" s="20" t="str">
        <f t="shared" si="18"/>
        <v>C+</v>
      </c>
    </row>
    <row r="204" ht="25.5" spans="1:14">
      <c r="A204" s="15">
        <v>214</v>
      </c>
      <c r="B204" s="15" t="s">
        <v>411</v>
      </c>
      <c r="C204" s="15" t="s">
        <v>412</v>
      </c>
      <c r="D204" s="16">
        <v>0</v>
      </c>
      <c r="E204" s="8">
        <v>2.5</v>
      </c>
      <c r="F204" s="16">
        <v>19</v>
      </c>
      <c r="G204" s="17">
        <f t="shared" si="19"/>
        <v>21.5</v>
      </c>
      <c r="H204" s="16">
        <v>50</v>
      </c>
      <c r="I204" s="16">
        <v>9</v>
      </c>
      <c r="J204" s="16">
        <v>16</v>
      </c>
      <c r="K204" s="18">
        <f t="shared" si="15"/>
        <v>75</v>
      </c>
      <c r="L204" s="17">
        <f t="shared" si="16"/>
        <v>45</v>
      </c>
      <c r="M204" s="19">
        <f t="shared" si="17"/>
        <v>66.5</v>
      </c>
      <c r="N204" s="20" t="str">
        <f t="shared" si="18"/>
        <v>C+</v>
      </c>
    </row>
    <row r="205" ht="25.5" spans="1:14">
      <c r="A205" s="15">
        <v>215</v>
      </c>
      <c r="B205" s="15" t="s">
        <v>413</v>
      </c>
      <c r="C205" s="15" t="s">
        <v>414</v>
      </c>
      <c r="D205" s="16">
        <v>0</v>
      </c>
      <c r="E205" s="8">
        <v>5.5</v>
      </c>
      <c r="F205" s="16">
        <v>16</v>
      </c>
      <c r="G205" s="17">
        <f t="shared" si="19"/>
        <v>21.5</v>
      </c>
      <c r="H205" s="16">
        <v>47</v>
      </c>
      <c r="I205" s="16">
        <v>15</v>
      </c>
      <c r="J205" s="16">
        <v>12</v>
      </c>
      <c r="K205" s="18">
        <f t="shared" si="15"/>
        <v>74</v>
      </c>
      <c r="L205" s="17">
        <f t="shared" si="16"/>
        <v>44.4</v>
      </c>
      <c r="M205" s="19">
        <f t="shared" si="17"/>
        <v>65.9</v>
      </c>
      <c r="N205" s="20" t="str">
        <f t="shared" si="18"/>
        <v>C+</v>
      </c>
    </row>
    <row r="206" ht="25.5" spans="1:14">
      <c r="A206" s="15">
        <v>216</v>
      </c>
      <c r="B206" s="15" t="s">
        <v>415</v>
      </c>
      <c r="C206" s="15" t="s">
        <v>416</v>
      </c>
      <c r="D206" s="16">
        <v>0</v>
      </c>
      <c r="E206" s="8">
        <v>6.5</v>
      </c>
      <c r="F206" s="16">
        <v>16</v>
      </c>
      <c r="G206" s="17">
        <f t="shared" si="19"/>
        <v>22.5</v>
      </c>
      <c r="H206" s="16">
        <v>40</v>
      </c>
      <c r="I206" s="16">
        <v>13</v>
      </c>
      <c r="J206" s="16">
        <v>12</v>
      </c>
      <c r="K206" s="18">
        <f t="shared" si="15"/>
        <v>65</v>
      </c>
      <c r="L206" s="17">
        <f t="shared" si="16"/>
        <v>39</v>
      </c>
      <c r="M206" s="19">
        <f t="shared" si="17"/>
        <v>61.5</v>
      </c>
      <c r="N206" s="20" t="str">
        <f t="shared" si="18"/>
        <v>C</v>
      </c>
    </row>
    <row r="207" ht="25.5" spans="1:14">
      <c r="A207" s="15">
        <v>217</v>
      </c>
      <c r="B207" s="15" t="s">
        <v>417</v>
      </c>
      <c r="C207" s="15" t="s">
        <v>418</v>
      </c>
      <c r="D207" s="16">
        <v>0</v>
      </c>
      <c r="E207" s="8">
        <v>3.5</v>
      </c>
      <c r="F207" s="16">
        <v>17</v>
      </c>
      <c r="G207" s="17">
        <f t="shared" si="19"/>
        <v>20.5</v>
      </c>
      <c r="H207" s="16">
        <v>46</v>
      </c>
      <c r="I207" s="16">
        <v>18</v>
      </c>
      <c r="J207" s="16">
        <v>17</v>
      </c>
      <c r="K207" s="18">
        <f t="shared" si="15"/>
        <v>81</v>
      </c>
      <c r="L207" s="17">
        <f t="shared" si="16"/>
        <v>48.6</v>
      </c>
      <c r="M207" s="19">
        <f t="shared" si="17"/>
        <v>69.1</v>
      </c>
      <c r="N207" s="20" t="str">
        <f t="shared" si="18"/>
        <v>C+</v>
      </c>
    </row>
    <row r="208" ht="26" spans="1:14">
      <c r="A208" s="15">
        <v>219</v>
      </c>
      <c r="B208" s="21"/>
      <c r="C208" s="21"/>
      <c r="D208" s="16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 ht="20.5" spans="4:6">
      <c r="D209" s="2"/>
    </row>
    <row r="212" spans="4:6">
      <c r="E212" s="22" t="s">
        <v>419</v>
      </c>
      <c r="F212" s="22" t="s">
        <v>420</v>
      </c>
    </row>
    <row r="213" spans="4:6">
      <c r="E213" s="22">
        <f>COUNTIF(N9:N207,"F")</f>
        <v>20</v>
      </c>
      <c r="F213" s="23">
        <f>E213/219*100</f>
        <v>9.1324200913242</v>
      </c>
    </row>
    <row r="214" spans="4:6">
      <c r="E214" s="22">
        <f>COUNTIF(N9:N207,"D")</f>
        <v>19</v>
      </c>
      <c r="F214" s="23">
        <f t="shared" ref="F214:F221" si="20">E214/219*100</f>
        <v>8.67579908675799</v>
      </c>
    </row>
    <row r="215" spans="4:6">
      <c r="E215" s="22">
        <f>COUNTIF(N9:N207,"D+")</f>
        <v>5</v>
      </c>
      <c r="F215" s="23">
        <f t="shared" si="20"/>
        <v>2.28310502283105</v>
      </c>
    </row>
    <row r="216" spans="4:6">
      <c r="E216" s="22">
        <f>COUNTIF(N9:N207,"C")</f>
        <v>16</v>
      </c>
      <c r="F216" s="23">
        <f t="shared" si="20"/>
        <v>7.30593607305936</v>
      </c>
    </row>
    <row r="217" spans="4:6">
      <c r="E217" s="22">
        <f>COUNTIF(N9:N207,"C+")</f>
        <v>34</v>
      </c>
      <c r="F217" s="23">
        <f t="shared" si="20"/>
        <v>15.5251141552511</v>
      </c>
    </row>
    <row r="218" spans="4:6">
      <c r="E218" s="22">
        <f>COUNTIF(N9:N207,"B")</f>
        <v>34</v>
      </c>
      <c r="F218" s="23">
        <f t="shared" si="20"/>
        <v>15.5251141552511</v>
      </c>
    </row>
    <row r="219" spans="4:6">
      <c r="E219" s="22">
        <f>COUNTIF(N9:N207,"B+")</f>
        <v>42</v>
      </c>
      <c r="F219" s="23">
        <f t="shared" si="20"/>
        <v>19.1780821917808</v>
      </c>
    </row>
    <row r="220" spans="4:6">
      <c r="E220" s="22">
        <f>COUNTIF(N9:N207,"A")</f>
        <v>29</v>
      </c>
      <c r="F220" s="23">
        <f t="shared" si="20"/>
        <v>13.2420091324201</v>
      </c>
    </row>
    <row r="221" spans="4:6">
      <c r="E221" s="22">
        <f>SUM(E213:E220)</f>
        <v>199</v>
      </c>
      <c r="F221" s="23">
        <f t="shared" si="20"/>
        <v>90.8675799086758</v>
      </c>
    </row>
  </sheetData>
  <mergeCells count="3">
    <mergeCell ref="D5:G5"/>
    <mergeCell ref="H5:L5"/>
    <mergeCell ref="M5:N5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07" sqref="F207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Chart1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Mawufemor Forh</dc:creator>
  <cp:lastModifiedBy>Piesie</cp:lastModifiedBy>
  <dcterms:created xsi:type="dcterms:W3CDTF">2023-11-10T18:47:00Z</dcterms:created>
  <dcterms:modified xsi:type="dcterms:W3CDTF">2026-07-29T11:43:44Z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B152662F35D14AD6AD84FE9718D5CAAF_12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